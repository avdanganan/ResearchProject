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emf" ContentType="image/x-emf"/>
  <Override PartName="/xl/activeX/activeX5.xml" ContentType="application/vnd.ms-office.activeX+xml"/>
  <Override PartName="/xl/activeX/activeX6.xml" ContentType="application/vnd.ms-office.activeX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/>
  </bookViews>
  <sheets>
    <sheet name="Kmeans" sheetId="1" r:id="rId1"/>
    <sheet name="Outlier" sheetId="3" r:id="rId2"/>
    <sheet name="Overlapping" sheetId="4" r:id="rId3"/>
    <sheet name="Sample" sheetId="2" r:id="rId4"/>
  </sheets>
  <definedNames>
    <definedName name="solver_adj" localSheetId="0" hidden="1">Kmeans!$F$8:$K$8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Kmeans!$T$57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24519"/>
</workbook>
</file>

<file path=xl/calcChain.xml><?xml version="1.0" encoding="utf-8"?>
<calcChain xmlns="http://schemas.openxmlformats.org/spreadsheetml/2006/main">
  <c r="M7" i="4"/>
  <c r="F7"/>
  <c r="N7" i="1"/>
  <c r="L6" i="3"/>
  <c r="L3"/>
  <c r="G6"/>
  <c r="L7"/>
  <c r="I3" i="4"/>
  <c r="G3" i="3"/>
  <c r="G11" s="1"/>
  <c r="K3" i="4"/>
  <c r="J3"/>
  <c r="I14" i="3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I3"/>
  <c r="I6" s="1"/>
  <c r="H3"/>
  <c r="H6" s="1"/>
  <c r="F11" i="2"/>
  <c r="F8"/>
  <c r="R8" i="1"/>
  <c r="O8" s="1"/>
  <c r="R9"/>
  <c r="O9" s="1"/>
  <c r="R10"/>
  <c r="O10" s="1"/>
  <c r="R11"/>
  <c r="O11" s="1"/>
  <c r="R12"/>
  <c r="O12" s="1"/>
  <c r="R13"/>
  <c r="O13" s="1"/>
  <c r="R14"/>
  <c r="O14" s="1"/>
  <c r="R15"/>
  <c r="O15" s="1"/>
  <c r="R16"/>
  <c r="O16" s="1"/>
  <c r="R17"/>
  <c r="O17" s="1"/>
  <c r="R18"/>
  <c r="O18" s="1"/>
  <c r="R19"/>
  <c r="O19" s="1"/>
  <c r="R20"/>
  <c r="O20" s="1"/>
  <c r="R21"/>
  <c r="P21" s="1"/>
  <c r="R22"/>
  <c r="P22" s="1"/>
  <c r="R23"/>
  <c r="P23" s="1"/>
  <c r="R24"/>
  <c r="P24" s="1"/>
  <c r="R25"/>
  <c r="P25" s="1"/>
  <c r="R26"/>
  <c r="P26" s="1"/>
  <c r="R27"/>
  <c r="P27" s="1"/>
  <c r="R28"/>
  <c r="P28" s="1"/>
  <c r="R29"/>
  <c r="P29" s="1"/>
  <c r="R30"/>
  <c r="P30" s="1"/>
  <c r="R31"/>
  <c r="P31" s="1"/>
  <c r="R32"/>
  <c r="P32" s="1"/>
  <c r="R33"/>
  <c r="P33" s="1"/>
  <c r="R34"/>
  <c r="P34" s="1"/>
  <c r="R35"/>
  <c r="P35" s="1"/>
  <c r="R36"/>
  <c r="P36" s="1"/>
  <c r="R37"/>
  <c r="P37" s="1"/>
  <c r="R38"/>
  <c r="P38" s="1"/>
  <c r="R39"/>
  <c r="P39" s="1"/>
  <c r="R40"/>
  <c r="P40" s="1"/>
  <c r="R41"/>
  <c r="P41" s="1"/>
  <c r="R42"/>
  <c r="P42" s="1"/>
  <c r="R43"/>
  <c r="R44"/>
  <c r="R45"/>
  <c r="R46"/>
  <c r="R47"/>
  <c r="R48"/>
  <c r="R49"/>
  <c r="R50"/>
  <c r="R51"/>
  <c r="R52"/>
  <c r="R53"/>
  <c r="R54"/>
  <c r="R55"/>
  <c r="R56"/>
  <c r="R7"/>
  <c r="O7" s="1"/>
  <c r="Q8"/>
  <c r="N8" s="1"/>
  <c r="Q9"/>
  <c r="N9" s="1"/>
  <c r="Q10"/>
  <c r="P10" s="1"/>
  <c r="Q11"/>
  <c r="P11" s="1"/>
  <c r="Q12"/>
  <c r="P12" s="1"/>
  <c r="Q13"/>
  <c r="N13" s="1"/>
  <c r="Q14"/>
  <c r="P14" s="1"/>
  <c r="Q15"/>
  <c r="P15" s="1"/>
  <c r="Q16"/>
  <c r="P16" s="1"/>
  <c r="Q17"/>
  <c r="N17" s="1"/>
  <c r="Q18"/>
  <c r="P18" s="1"/>
  <c r="Q19"/>
  <c r="P19" s="1"/>
  <c r="Q20"/>
  <c r="P20" s="1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7"/>
  <c r="P7" s="1"/>
  <c r="I3" i="2"/>
  <c r="I4"/>
  <c r="I5"/>
  <c r="I6"/>
  <c r="I7"/>
  <c r="I8"/>
  <c r="I9"/>
  <c r="I2"/>
  <c r="C1"/>
  <c r="E9"/>
  <c r="C6"/>
  <c r="B8" s="1"/>
  <c r="B6"/>
  <c r="C3" s="1"/>
  <c r="J11" i="1"/>
  <c r="I11"/>
  <c r="I12" i="3" l="1"/>
  <c r="I13"/>
  <c r="I11"/>
  <c r="H21"/>
  <c r="H19"/>
  <c r="H17"/>
  <c r="H15"/>
  <c r="H13"/>
  <c r="H11"/>
  <c r="H20"/>
  <c r="H18"/>
  <c r="H16"/>
  <c r="H14"/>
  <c r="H12"/>
  <c r="H10"/>
  <c r="I10"/>
  <c r="I9"/>
  <c r="I8"/>
  <c r="I7"/>
  <c r="H9"/>
  <c r="H8"/>
  <c r="H7"/>
  <c r="G17"/>
  <c r="G15"/>
  <c r="G13"/>
  <c r="G16"/>
  <c r="G14"/>
  <c r="G12"/>
  <c r="G10"/>
  <c r="G9"/>
  <c r="G8"/>
  <c r="G7"/>
  <c r="N41" i="1"/>
  <c r="N39"/>
  <c r="N37"/>
  <c r="N35"/>
  <c r="N33"/>
  <c r="N31"/>
  <c r="N29"/>
  <c r="N27"/>
  <c r="N25"/>
  <c r="N23"/>
  <c r="N21"/>
  <c r="O41"/>
  <c r="O39"/>
  <c r="O37"/>
  <c r="O35"/>
  <c r="O33"/>
  <c r="O31"/>
  <c r="O29"/>
  <c r="O27"/>
  <c r="O25"/>
  <c r="O23"/>
  <c r="O21"/>
  <c r="N42"/>
  <c r="N40"/>
  <c r="N38"/>
  <c r="N36"/>
  <c r="N34"/>
  <c r="N32"/>
  <c r="N30"/>
  <c r="N28"/>
  <c r="N26"/>
  <c r="N24"/>
  <c r="N22"/>
  <c r="O42"/>
  <c r="O40"/>
  <c r="O38"/>
  <c r="O36"/>
  <c r="O34"/>
  <c r="O32"/>
  <c r="O30"/>
  <c r="O28"/>
  <c r="O26"/>
  <c r="O24"/>
  <c r="O22"/>
  <c r="N15"/>
  <c r="N19"/>
  <c r="N11"/>
  <c r="N20"/>
  <c r="P8"/>
  <c r="P17"/>
  <c r="P13"/>
  <c r="P9"/>
  <c r="F6" i="2"/>
  <c r="F4"/>
  <c r="F2"/>
  <c r="F1"/>
  <c r="F7"/>
  <c r="F5"/>
  <c r="F3"/>
  <c r="C4"/>
  <c r="C2"/>
  <c r="C5"/>
  <c r="N18" i="1"/>
  <c r="N16"/>
  <c r="N14"/>
  <c r="N12"/>
  <c r="N10"/>
  <c r="N3" i="3" l="1"/>
  <c r="N6" s="1"/>
  <c r="M3"/>
  <c r="M6" s="1"/>
  <c r="T13" i="1"/>
  <c r="T19"/>
  <c r="T9"/>
  <c r="T17"/>
  <c r="T11"/>
  <c r="T15"/>
  <c r="S17"/>
  <c r="J26" s="1"/>
  <c r="F9" i="2"/>
  <c r="F14" s="1"/>
  <c r="F16"/>
  <c r="F18"/>
  <c r="F15"/>
  <c r="F17"/>
  <c r="F19"/>
  <c r="F21"/>
  <c r="F20"/>
  <c r="T7" i="1"/>
  <c r="S20"/>
  <c r="S9"/>
  <c r="T20"/>
  <c r="S13"/>
  <c r="S8"/>
  <c r="T8"/>
  <c r="S10"/>
  <c r="T10"/>
  <c r="S12"/>
  <c r="T12"/>
  <c r="S14"/>
  <c r="T14"/>
  <c r="S16"/>
  <c r="T16"/>
  <c r="S18"/>
  <c r="T18"/>
  <c r="S11"/>
  <c r="S19"/>
  <c r="S15"/>
  <c r="S7"/>
  <c r="H16" s="1"/>
  <c r="S21" l="1"/>
  <c r="I26"/>
  <c r="H26"/>
  <c r="J24"/>
  <c r="I24"/>
  <c r="H24"/>
  <c r="J27"/>
  <c r="I27"/>
  <c r="H27"/>
  <c r="J23"/>
  <c r="I23"/>
  <c r="H23"/>
  <c r="H21"/>
  <c r="J21"/>
  <c r="I21"/>
  <c r="H19"/>
  <c r="J19"/>
  <c r="I19"/>
  <c r="H17"/>
  <c r="J17"/>
  <c r="I17"/>
  <c r="J29"/>
  <c r="H29"/>
  <c r="I29"/>
  <c r="J20"/>
  <c r="I20"/>
  <c r="H20"/>
  <c r="J25"/>
  <c r="I25"/>
  <c r="H25"/>
  <c r="J16"/>
  <c r="I16"/>
  <c r="J28"/>
  <c r="I28"/>
  <c r="H28"/>
  <c r="J22"/>
  <c r="I22"/>
  <c r="H22"/>
  <c r="J18"/>
  <c r="I18"/>
  <c r="H18"/>
  <c r="T21" l="1"/>
  <c r="I30"/>
  <c r="H30" l="1"/>
  <c r="J30"/>
  <c r="T23"/>
  <c r="T29"/>
  <c r="S24"/>
  <c r="J33" s="1"/>
  <c r="T31"/>
  <c r="S34"/>
  <c r="T27"/>
  <c r="T28"/>
  <c r="S30"/>
  <c r="T26"/>
  <c r="T33"/>
  <c r="S27"/>
  <c r="S29"/>
  <c r="I38" s="1"/>
  <c r="S28"/>
  <c r="I37" s="1"/>
  <c r="T24"/>
  <c r="T30"/>
  <c r="S31"/>
  <c r="J40" s="1"/>
  <c r="T32"/>
  <c r="S26"/>
  <c r="T22"/>
  <c r="T34"/>
  <c r="S25"/>
  <c r="S33"/>
  <c r="I42" s="1"/>
  <c r="S23"/>
  <c r="J32" s="1"/>
  <c r="S32"/>
  <c r="S22"/>
  <c r="J31" s="1"/>
  <c r="T25"/>
  <c r="J34"/>
  <c r="J36" l="1"/>
  <c r="I43"/>
  <c r="H32"/>
  <c r="H37"/>
  <c r="J35"/>
  <c r="J39"/>
  <c r="J43"/>
  <c r="I34"/>
  <c r="I33"/>
  <c r="I31"/>
  <c r="I36"/>
  <c r="I32"/>
  <c r="H43"/>
  <c r="H36"/>
  <c r="H31"/>
  <c r="J37"/>
  <c r="H34"/>
  <c r="H41"/>
  <c r="H33"/>
  <c r="J38"/>
  <c r="H39"/>
  <c r="I41"/>
  <c r="H35"/>
  <c r="J41"/>
  <c r="J42"/>
  <c r="I40"/>
  <c r="H42"/>
  <c r="H40"/>
  <c r="H38"/>
  <c r="I39"/>
  <c r="I35"/>
  <c r="T35"/>
  <c r="S35"/>
  <c r="I44" l="1"/>
  <c r="S38"/>
  <c r="J47" s="1"/>
  <c r="T37"/>
  <c r="S39"/>
  <c r="J48" s="1"/>
  <c r="S46"/>
  <c r="T45"/>
  <c r="S41"/>
  <c r="T43"/>
  <c r="T40"/>
  <c r="S44"/>
  <c r="J53" s="1"/>
  <c r="T36"/>
  <c r="T57" s="1"/>
  <c r="T46"/>
  <c r="S47"/>
  <c r="H44"/>
  <c r="S36"/>
  <c r="J44"/>
  <c r="S42"/>
  <c r="T48"/>
  <c r="S37"/>
  <c r="I46" s="1"/>
  <c r="T44"/>
  <c r="S45"/>
  <c r="I54" s="1"/>
  <c r="T42"/>
  <c r="S48"/>
  <c r="I45" l="1"/>
  <c r="H57"/>
  <c r="H51"/>
  <c r="I55"/>
  <c r="J55"/>
  <c r="T49"/>
  <c r="T41"/>
  <c r="H50" s="1"/>
  <c r="T38"/>
  <c r="T39"/>
  <c r="J46"/>
  <c r="T47"/>
  <c r="J50"/>
  <c r="J51"/>
  <c r="I53"/>
  <c r="I48"/>
  <c r="I56"/>
  <c r="H45"/>
  <c r="H46"/>
  <c r="I51"/>
  <c r="H54"/>
  <c r="J45"/>
  <c r="S43"/>
  <c r="J52" s="1"/>
  <c r="H55"/>
  <c r="H53"/>
  <c r="S40"/>
  <c r="H49" s="1"/>
  <c r="I57"/>
  <c r="H47"/>
  <c r="H56"/>
  <c r="J57"/>
  <c r="I47"/>
  <c r="J56"/>
  <c r="J54"/>
  <c r="H48"/>
  <c r="S49"/>
  <c r="I50" l="1"/>
  <c r="T52"/>
  <c r="T54"/>
  <c r="S51"/>
  <c r="J60" s="1"/>
  <c r="J58"/>
  <c r="H52"/>
  <c r="I52"/>
  <c r="J49"/>
  <c r="I49"/>
  <c r="S53"/>
  <c r="I58"/>
  <c r="H58"/>
  <c r="S50"/>
  <c r="J59" s="1"/>
  <c r="T56"/>
  <c r="S55"/>
  <c r="J64" s="1"/>
  <c r="T50"/>
  <c r="S56"/>
  <c r="J65" s="1"/>
  <c r="T51"/>
  <c r="S52"/>
  <c r="T55"/>
  <c r="T53"/>
  <c r="J61" l="1"/>
  <c r="I59"/>
  <c r="S54"/>
  <c r="J63" s="1"/>
  <c r="I64"/>
  <c r="H64"/>
  <c r="H59"/>
  <c r="H65"/>
  <c r="H60"/>
  <c r="I60"/>
  <c r="I65"/>
  <c r="I63"/>
  <c r="I61"/>
  <c r="H61"/>
  <c r="J62"/>
  <c r="I62"/>
  <c r="H62"/>
  <c r="H63" l="1"/>
</calcChain>
</file>

<file path=xl/sharedStrings.xml><?xml version="1.0" encoding="utf-8"?>
<sst xmlns="http://schemas.openxmlformats.org/spreadsheetml/2006/main" count="97" uniqueCount="57">
  <si>
    <t>TEST DATA</t>
  </si>
  <si>
    <t>SL NO</t>
  </si>
  <si>
    <t>X</t>
  </si>
  <si>
    <t>Y</t>
  </si>
  <si>
    <t>Cluter Center 1</t>
  </si>
  <si>
    <t>Cluster center 2</t>
  </si>
  <si>
    <t>Cluster Center 3</t>
  </si>
  <si>
    <t>XY Plot of Data Points</t>
  </si>
  <si>
    <t>INDEX OF CURRENT POINT</t>
  </si>
  <si>
    <t>D' to centroid 2</t>
  </si>
  <si>
    <t>CLASS</t>
  </si>
  <si>
    <t>Minimum Distance</t>
  </si>
  <si>
    <t>INDEX</t>
  </si>
  <si>
    <t>Sum of Min distance</t>
  </si>
  <si>
    <t>Cluster 1</t>
  </si>
  <si>
    <t>Cluster 2</t>
  </si>
  <si>
    <t>Cluster 3</t>
  </si>
  <si>
    <t>Index</t>
  </si>
  <si>
    <t/>
  </si>
  <si>
    <t>Outlier</t>
  </si>
  <si>
    <t>Descision value</t>
  </si>
  <si>
    <t>inliers</t>
  </si>
  <si>
    <t>D' to centroid 1</t>
  </si>
  <si>
    <t>D' to centroid 3</t>
  </si>
  <si>
    <t>Final Cluster Center</t>
  </si>
  <si>
    <t>CLUSTERS DATA</t>
  </si>
  <si>
    <t>MEDIAN ABSOLUTE DEVIATION</t>
  </si>
  <si>
    <t>Median C1</t>
  </si>
  <si>
    <t>Median C2</t>
  </si>
  <si>
    <t>Median C3</t>
  </si>
  <si>
    <t>MAD value C1</t>
  </si>
  <si>
    <t>MAD value C2</t>
  </si>
  <si>
    <t>MAD value C3</t>
  </si>
  <si>
    <t xml:space="preserve">MEDIAN </t>
  </si>
  <si>
    <t>Descision value in C1</t>
  </si>
  <si>
    <t>Descision value in C2</t>
  </si>
  <si>
    <t>Descision value in C3</t>
  </si>
  <si>
    <t>values &gt;</t>
  </si>
  <si>
    <t>values &lt;</t>
  </si>
  <si>
    <t>OUTLIERS FOR C1</t>
  </si>
  <si>
    <t>OUTLIERS FOR C2</t>
  </si>
  <si>
    <t>OUTLIERS FOR C3</t>
  </si>
  <si>
    <t>Number of Cluster</t>
  </si>
  <si>
    <t>CLUSTER DATA</t>
  </si>
  <si>
    <t>MAXDIST</t>
  </si>
  <si>
    <t>MAX C1</t>
  </si>
  <si>
    <t>MAX C2</t>
  </si>
  <si>
    <t>MAX C3</t>
  </si>
  <si>
    <t>Centroid</t>
  </si>
  <si>
    <t>C1</t>
  </si>
  <si>
    <t>C2</t>
  </si>
  <si>
    <t>C3</t>
  </si>
  <si>
    <t>Dist w/in clusters</t>
  </si>
  <si>
    <t>Distance to other cluster</t>
  </si>
  <si>
    <t>OVERLAP</t>
  </si>
  <si>
    <t>Assignment of Data within clusters</t>
  </si>
  <si>
    <t>DATA (X/Y)</t>
  </si>
</sst>
</file>

<file path=xl/styles.xml><?xml version="1.0" encoding="utf-8"?>
<styleSheet xmlns="http://schemas.openxmlformats.org/spreadsheetml/2006/main">
  <numFmts count="2">
    <numFmt numFmtId="164" formatCode="0.00000"/>
    <numFmt numFmtId="165" formatCode="0.0000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2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/>
    <xf numFmtId="0" fontId="5" fillId="2" borderId="1" xfId="0" applyFont="1" applyFill="1" applyBorder="1" applyAlignment="1"/>
    <xf numFmtId="0" fontId="5" fillId="2" borderId="1" xfId="0" applyFont="1" applyFill="1" applyBorder="1"/>
    <xf numFmtId="0" fontId="0" fillId="2" borderId="1" xfId="0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0" borderId="0" xfId="0" applyFont="1"/>
    <xf numFmtId="0" fontId="6" fillId="0" borderId="0" xfId="0" applyFont="1"/>
    <xf numFmtId="0" fontId="2" fillId="0" borderId="1" xfId="0" applyFont="1" applyFill="1" applyBorder="1" applyAlignment="1">
      <alignment horizontal="center"/>
    </xf>
    <xf numFmtId="0" fontId="6" fillId="2" borderId="1" xfId="0" applyFont="1" applyFill="1" applyBorder="1"/>
    <xf numFmtId="0" fontId="0" fillId="3" borderId="1" xfId="0" applyFill="1" applyBorder="1" applyAlignment="1">
      <alignment horizontal="center"/>
    </xf>
    <xf numFmtId="0" fontId="6" fillId="0" borderId="1" xfId="0" applyFont="1" applyBorder="1"/>
    <xf numFmtId="0" fontId="7" fillId="5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0" xfId="0" applyBorder="1"/>
    <xf numFmtId="0" fontId="0" fillId="0" borderId="2" xfId="0" applyBorder="1"/>
    <xf numFmtId="0" fontId="1" fillId="6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8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6" fillId="7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10" borderId="0" xfId="0" applyFont="1" applyFill="1" applyAlignment="1">
      <alignment horizontal="center"/>
    </xf>
    <xf numFmtId="0" fontId="9" fillId="0" borderId="0" xfId="0" applyFont="1"/>
    <xf numFmtId="0" fontId="6" fillId="11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10" borderId="0" xfId="0" applyFont="1" applyFill="1" applyAlignment="1">
      <alignment horizontal="center"/>
    </xf>
    <xf numFmtId="0" fontId="0" fillId="5" borderId="0" xfId="0" applyFill="1"/>
    <xf numFmtId="0" fontId="0" fillId="17" borderId="0" xfId="0" applyFill="1"/>
    <xf numFmtId="165" fontId="0" fillId="15" borderId="0" xfId="0" applyNumberFormat="1" applyFill="1" applyAlignment="1">
      <alignment horizontal="center"/>
    </xf>
    <xf numFmtId="164" fontId="0" fillId="15" borderId="0" xfId="0" applyNumberFormat="1" applyFill="1" applyAlignment="1">
      <alignment horizontal="center"/>
    </xf>
    <xf numFmtId="0" fontId="0" fillId="15" borderId="0" xfId="0" applyFill="1" applyAlignment="1">
      <alignment horizontal="center"/>
    </xf>
    <xf numFmtId="164" fontId="0" fillId="16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6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0" fillId="12" borderId="0" xfId="0" applyFill="1" applyAlignment="1">
      <alignment horizontal="center"/>
    </xf>
    <xf numFmtId="0" fontId="8" fillId="8" borderId="0" xfId="0" applyFont="1" applyFill="1" applyAlignment="1">
      <alignment horizontal="center"/>
    </xf>
    <xf numFmtId="0" fontId="8" fillId="9" borderId="0" xfId="0" applyFont="1" applyFill="1" applyAlignment="1">
      <alignment horizontal="center"/>
    </xf>
    <xf numFmtId="0" fontId="1" fillId="18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8" fillId="13" borderId="0" xfId="0" applyFont="1" applyFill="1" applyAlignment="1">
      <alignment horizontal="center"/>
    </xf>
    <xf numFmtId="0" fontId="6" fillId="14" borderId="0" xfId="0" applyFont="1" applyFill="1" applyAlignment="1">
      <alignment horizontal="center"/>
    </xf>
    <xf numFmtId="0" fontId="1" fillId="13" borderId="0" xfId="0" applyFont="1" applyFill="1" applyAlignment="1">
      <alignment horizontal="center"/>
    </xf>
    <xf numFmtId="0" fontId="6" fillId="10" borderId="0" xfId="0" applyFont="1" applyFill="1" applyAlignment="1">
      <alignment horizontal="center"/>
    </xf>
  </cellXfs>
  <cellStyles count="1">
    <cellStyle name="Normal" xfId="0" builtinId="0"/>
  </cellStyles>
  <dxfs count="2">
    <dxf>
      <fill>
        <patternFill>
          <bgColor rgb="FFFFFF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lect"/>
  <ax:ocxPr ax:name="Size" ax:value="2540;84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nsert"/>
  <ax:ocxPr ax:name="Size" ax:value="2725;84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heck Outlier"/>
  <ax:ocxPr ax:name="Size" ax:value="2831;84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Overlap Data"/>
  <ax:ocxPr ax:name="Size" ax:value="3360;1032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nsert Data"/>
  <ax:ocxPr ax:name="Size" ax:value="2778;84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Distance/Center"/>
  <ax:ocxPr ax:name="Size" ax:value="3466;108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heck Outlier"/>
  <ax:ocxPr ax:name="Size" ax:value="3334;84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nsert"/>
  <ax:ocxPr ax:name="Size" ax:value="3201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tx>
            <c:v>data points</c:v>
          </c:tx>
          <c:spPr>
            <a:ln w="28575">
              <a:noFill/>
            </a:ln>
          </c:spPr>
          <c:xVal>
            <c:numRef>
              <c:f>Kmeans!$C$7:$C$56</c:f>
              <c:numCache>
                <c:formatCode>General</c:formatCode>
                <c:ptCount val="50"/>
                <c:pt idx="0">
                  <c:v>41</c:v>
                </c:pt>
                <c:pt idx="1">
                  <c:v>39</c:v>
                </c:pt>
                <c:pt idx="2">
                  <c:v>42</c:v>
                </c:pt>
                <c:pt idx="3">
                  <c:v>44</c:v>
                </c:pt>
                <c:pt idx="4">
                  <c:v>10</c:v>
                </c:pt>
                <c:pt idx="5">
                  <c:v>38</c:v>
                </c:pt>
                <c:pt idx="6">
                  <c:v>8</c:v>
                </c:pt>
                <c:pt idx="7">
                  <c:v>41</c:v>
                </c:pt>
                <c:pt idx="8">
                  <c:v>13</c:v>
                </c:pt>
                <c:pt idx="9">
                  <c:v>45</c:v>
                </c:pt>
                <c:pt idx="10">
                  <c:v>7</c:v>
                </c:pt>
                <c:pt idx="11">
                  <c:v>42</c:v>
                </c:pt>
                <c:pt idx="12">
                  <c:v>9</c:v>
                </c:pt>
                <c:pt idx="13">
                  <c:v>12</c:v>
                </c:pt>
                <c:pt idx="14">
                  <c:v>19</c:v>
                </c:pt>
                <c:pt idx="15">
                  <c:v>25</c:v>
                </c:pt>
                <c:pt idx="16">
                  <c:v>6</c:v>
                </c:pt>
                <c:pt idx="17">
                  <c:v>13</c:v>
                </c:pt>
                <c:pt idx="18">
                  <c:v>9</c:v>
                </c:pt>
                <c:pt idx="19">
                  <c:v>12</c:v>
                </c:pt>
                <c:pt idx="20">
                  <c:v>32</c:v>
                </c:pt>
                <c:pt idx="21">
                  <c:v>26</c:v>
                </c:pt>
                <c:pt idx="22">
                  <c:v>39</c:v>
                </c:pt>
                <c:pt idx="23">
                  <c:v>34</c:v>
                </c:pt>
                <c:pt idx="24">
                  <c:v>37</c:v>
                </c:pt>
                <c:pt idx="25">
                  <c:v>22</c:v>
                </c:pt>
                <c:pt idx="26">
                  <c:v>38</c:v>
                </c:pt>
                <c:pt idx="27">
                  <c:v>35</c:v>
                </c:pt>
                <c:pt idx="28">
                  <c:v>31</c:v>
                </c:pt>
                <c:pt idx="29">
                  <c:v>26</c:v>
                </c:pt>
                <c:pt idx="30">
                  <c:v>38</c:v>
                </c:pt>
                <c:pt idx="31">
                  <c:v>29</c:v>
                </c:pt>
                <c:pt idx="32">
                  <c:v>34</c:v>
                </c:pt>
                <c:pt idx="33">
                  <c:v>37</c:v>
                </c:pt>
                <c:pt idx="34">
                  <c:v>40</c:v>
                </c:pt>
                <c:pt idx="35">
                  <c:v>42</c:v>
                </c:pt>
              </c:numCache>
            </c:numRef>
          </c:xVal>
          <c:yVal>
            <c:numRef>
              <c:f>Kmeans!$D$7:$D$56</c:f>
              <c:numCache>
                <c:formatCode>General</c:formatCode>
                <c:ptCount val="50"/>
                <c:pt idx="0">
                  <c:v>45</c:v>
                </c:pt>
                <c:pt idx="1">
                  <c:v>44</c:v>
                </c:pt>
                <c:pt idx="2">
                  <c:v>43</c:v>
                </c:pt>
                <c:pt idx="3">
                  <c:v>43</c:v>
                </c:pt>
                <c:pt idx="4">
                  <c:v>42</c:v>
                </c:pt>
                <c:pt idx="5">
                  <c:v>42</c:v>
                </c:pt>
                <c:pt idx="6">
                  <c:v>41</c:v>
                </c:pt>
                <c:pt idx="7">
                  <c:v>41</c:v>
                </c:pt>
                <c:pt idx="8">
                  <c:v>40</c:v>
                </c:pt>
                <c:pt idx="9">
                  <c:v>40</c:v>
                </c:pt>
                <c:pt idx="10">
                  <c:v>39</c:v>
                </c:pt>
                <c:pt idx="11">
                  <c:v>39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37</c:v>
                </c:pt>
                <c:pt idx="17">
                  <c:v>35</c:v>
                </c:pt>
                <c:pt idx="18">
                  <c:v>34</c:v>
                </c:pt>
                <c:pt idx="19">
                  <c:v>34</c:v>
                </c:pt>
                <c:pt idx="20">
                  <c:v>27</c:v>
                </c:pt>
                <c:pt idx="21">
                  <c:v>25</c:v>
                </c:pt>
                <c:pt idx="22">
                  <c:v>24</c:v>
                </c:pt>
                <c:pt idx="23">
                  <c:v>23</c:v>
                </c:pt>
                <c:pt idx="24">
                  <c:v>23</c:v>
                </c:pt>
                <c:pt idx="25">
                  <c:v>22</c:v>
                </c:pt>
                <c:pt idx="26">
                  <c:v>21</c:v>
                </c:pt>
                <c:pt idx="27">
                  <c:v>20</c:v>
                </c:pt>
                <c:pt idx="28">
                  <c:v>18</c:v>
                </c:pt>
                <c:pt idx="29">
                  <c:v>16</c:v>
                </c:pt>
                <c:pt idx="30">
                  <c:v>13</c:v>
                </c:pt>
                <c:pt idx="31">
                  <c:v>11</c:v>
                </c:pt>
                <c:pt idx="32">
                  <c:v>11</c:v>
                </c:pt>
                <c:pt idx="33">
                  <c:v>10</c:v>
                </c:pt>
                <c:pt idx="34">
                  <c:v>9</c:v>
                </c:pt>
                <c:pt idx="35">
                  <c:v>9</c:v>
                </c:pt>
              </c:numCache>
            </c:numRef>
          </c:yVal>
        </c:ser>
        <c:ser>
          <c:idx val="1"/>
          <c:order val="1"/>
          <c:tx>
            <c:v>centroid 1</c:v>
          </c:tx>
          <c:spPr>
            <a:ln w="28575">
              <a:noFill/>
            </a:ln>
          </c:spPr>
          <c:xVal>
            <c:numRef>
              <c:f>Kmeans!$F$8</c:f>
              <c:numCache>
                <c:formatCode>General</c:formatCode>
                <c:ptCount val="1"/>
                <c:pt idx="0">
                  <c:v>11.140396555062697</c:v>
                </c:pt>
              </c:numCache>
            </c:numRef>
          </c:xVal>
          <c:yVal>
            <c:numRef>
              <c:f>Kmeans!$G$8</c:f>
              <c:numCache>
                <c:formatCode>General</c:formatCode>
                <c:ptCount val="1"/>
                <c:pt idx="0">
                  <c:v>37.894708120465552</c:v>
                </c:pt>
              </c:numCache>
            </c:numRef>
          </c:yVal>
        </c:ser>
        <c:ser>
          <c:idx val="2"/>
          <c:order val="2"/>
          <c:tx>
            <c:v>centroid 2</c:v>
          </c:tx>
          <c:spPr>
            <a:ln w="28575">
              <a:noFill/>
            </a:ln>
          </c:spPr>
          <c:xVal>
            <c:numRef>
              <c:f>Kmeans!$H$8</c:f>
              <c:numCache>
                <c:formatCode>General</c:formatCode>
                <c:ptCount val="1"/>
                <c:pt idx="0">
                  <c:v>33.806861898721934</c:v>
                </c:pt>
              </c:numCache>
            </c:numRef>
          </c:xVal>
          <c:yVal>
            <c:numRef>
              <c:f>Kmeans!$I$8</c:f>
              <c:numCache>
                <c:formatCode>General</c:formatCode>
                <c:ptCount val="1"/>
                <c:pt idx="0">
                  <c:v>22.362776334227778</c:v>
                </c:pt>
              </c:numCache>
            </c:numRef>
          </c:yVal>
        </c:ser>
        <c:ser>
          <c:idx val="3"/>
          <c:order val="3"/>
          <c:tx>
            <c:v>centroid 3</c:v>
          </c:tx>
          <c:spPr>
            <a:ln w="28575">
              <a:noFill/>
            </a:ln>
          </c:spPr>
          <c:xVal>
            <c:numRef>
              <c:f>Kmeans!$J$8</c:f>
              <c:numCache>
                <c:formatCode>General</c:formatCode>
                <c:ptCount val="1"/>
                <c:pt idx="0">
                  <c:v>41.592430923377279</c:v>
                </c:pt>
              </c:numCache>
            </c:numRef>
          </c:xVal>
          <c:yVal>
            <c:numRef>
              <c:f>Kmeans!$K$8</c:f>
              <c:numCache>
                <c:formatCode>General</c:formatCode>
                <c:ptCount val="1"/>
                <c:pt idx="0">
                  <c:v>42.380485120991651</c:v>
                </c:pt>
              </c:numCache>
            </c:numRef>
          </c:yVal>
        </c:ser>
        <c:axId val="107788928"/>
        <c:axId val="107794816"/>
      </c:scatterChart>
      <c:valAx>
        <c:axId val="107788928"/>
        <c:scaling>
          <c:orientation val="minMax"/>
        </c:scaling>
        <c:axPos val="b"/>
        <c:numFmt formatCode="General" sourceLinked="1"/>
        <c:majorTickMark val="none"/>
        <c:tickLblPos val="nextTo"/>
        <c:crossAx val="107794816"/>
        <c:crosses val="autoZero"/>
        <c:crossBetween val="midCat"/>
      </c:valAx>
      <c:valAx>
        <c:axId val="107794816"/>
        <c:scaling>
          <c:orientation val="minMax"/>
        </c:scaling>
        <c:axPos val="l"/>
        <c:numFmt formatCode="General" sourceLinked="1"/>
        <c:majorTickMark val="none"/>
        <c:tickLblPos val="nextTo"/>
        <c:crossAx val="107788928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7.1948554201425458E-2"/>
          <c:y val="2.8252405949256338E-2"/>
          <c:w val="0.86841243570668258"/>
          <c:h val="0.68673009623797165"/>
        </c:manualLayout>
      </c:layout>
      <c:scatterChart>
        <c:scatterStyle val="lineMarker"/>
        <c:ser>
          <c:idx val="0"/>
          <c:order val="0"/>
          <c:tx>
            <c:v>datapoints</c:v>
          </c:tx>
          <c:xVal>
            <c:numRef>
              <c:f>Kmeans!$C$7:$C$56</c:f>
              <c:numCache>
                <c:formatCode>General</c:formatCode>
                <c:ptCount val="50"/>
                <c:pt idx="0">
                  <c:v>41</c:v>
                </c:pt>
                <c:pt idx="1">
                  <c:v>39</c:v>
                </c:pt>
                <c:pt idx="2">
                  <c:v>42</c:v>
                </c:pt>
                <c:pt idx="3">
                  <c:v>44</c:v>
                </c:pt>
                <c:pt idx="4">
                  <c:v>10</c:v>
                </c:pt>
                <c:pt idx="5">
                  <c:v>38</c:v>
                </c:pt>
                <c:pt idx="6">
                  <c:v>8</c:v>
                </c:pt>
                <c:pt idx="7">
                  <c:v>41</c:v>
                </c:pt>
                <c:pt idx="8">
                  <c:v>13</c:v>
                </c:pt>
                <c:pt idx="9">
                  <c:v>45</c:v>
                </c:pt>
                <c:pt idx="10">
                  <c:v>7</c:v>
                </c:pt>
                <c:pt idx="11">
                  <c:v>42</c:v>
                </c:pt>
                <c:pt idx="12">
                  <c:v>9</c:v>
                </c:pt>
                <c:pt idx="13">
                  <c:v>12</c:v>
                </c:pt>
                <c:pt idx="14">
                  <c:v>19</c:v>
                </c:pt>
                <c:pt idx="15">
                  <c:v>25</c:v>
                </c:pt>
                <c:pt idx="16">
                  <c:v>6</c:v>
                </c:pt>
                <c:pt idx="17">
                  <c:v>13</c:v>
                </c:pt>
                <c:pt idx="18">
                  <c:v>9</c:v>
                </c:pt>
                <c:pt idx="19">
                  <c:v>12</c:v>
                </c:pt>
                <c:pt idx="20">
                  <c:v>32</c:v>
                </c:pt>
                <c:pt idx="21">
                  <c:v>26</c:v>
                </c:pt>
                <c:pt idx="22">
                  <c:v>39</c:v>
                </c:pt>
                <c:pt idx="23">
                  <c:v>34</c:v>
                </c:pt>
                <c:pt idx="24">
                  <c:v>37</c:v>
                </c:pt>
                <c:pt idx="25">
                  <c:v>22</c:v>
                </c:pt>
                <c:pt idx="26">
                  <c:v>38</c:v>
                </c:pt>
                <c:pt idx="27">
                  <c:v>35</c:v>
                </c:pt>
                <c:pt idx="28">
                  <c:v>31</c:v>
                </c:pt>
                <c:pt idx="29">
                  <c:v>26</c:v>
                </c:pt>
                <c:pt idx="30">
                  <c:v>38</c:v>
                </c:pt>
                <c:pt idx="31">
                  <c:v>29</c:v>
                </c:pt>
                <c:pt idx="32">
                  <c:v>34</c:v>
                </c:pt>
                <c:pt idx="33">
                  <c:v>37</c:v>
                </c:pt>
                <c:pt idx="34">
                  <c:v>40</c:v>
                </c:pt>
                <c:pt idx="35">
                  <c:v>42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</c:ser>
        <c:axId val="106241408"/>
        <c:axId val="106255488"/>
      </c:scatterChart>
      <c:valAx>
        <c:axId val="106241408"/>
        <c:scaling>
          <c:orientation val="minMax"/>
        </c:scaling>
        <c:axPos val="b"/>
        <c:numFmt formatCode="General" sourceLinked="1"/>
        <c:majorTickMark val="none"/>
        <c:tickLblPos val="nextTo"/>
        <c:crossAx val="106255488"/>
        <c:crosses val="autoZero"/>
        <c:crossBetween val="midCat"/>
      </c:valAx>
      <c:valAx>
        <c:axId val="106255488"/>
        <c:scaling>
          <c:orientation val="minMax"/>
        </c:scaling>
        <c:axPos val="l"/>
        <c:numFmt formatCode="General" sourceLinked="1"/>
        <c:majorTickMark val="none"/>
        <c:tickLblPos val="nextTo"/>
        <c:crossAx val="106241408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v>Data Point</c:v>
          </c:tx>
          <c:spPr>
            <a:ln w="28575">
              <a:noFill/>
            </a:ln>
          </c:spPr>
          <c:xVal>
            <c:numRef>
              <c:f>Kmeans!$C$7:$C$56</c:f>
              <c:numCache>
                <c:formatCode>General</c:formatCode>
                <c:ptCount val="50"/>
                <c:pt idx="0">
                  <c:v>41</c:v>
                </c:pt>
                <c:pt idx="1">
                  <c:v>39</c:v>
                </c:pt>
                <c:pt idx="2">
                  <c:v>42</c:v>
                </c:pt>
                <c:pt idx="3">
                  <c:v>44</c:v>
                </c:pt>
                <c:pt idx="4">
                  <c:v>10</c:v>
                </c:pt>
                <c:pt idx="5">
                  <c:v>38</c:v>
                </c:pt>
                <c:pt idx="6">
                  <c:v>8</c:v>
                </c:pt>
                <c:pt idx="7">
                  <c:v>41</c:v>
                </c:pt>
                <c:pt idx="8">
                  <c:v>13</c:v>
                </c:pt>
                <c:pt idx="9">
                  <c:v>45</c:v>
                </c:pt>
                <c:pt idx="10">
                  <c:v>7</c:v>
                </c:pt>
                <c:pt idx="11">
                  <c:v>42</c:v>
                </c:pt>
                <c:pt idx="12">
                  <c:v>9</c:v>
                </c:pt>
                <c:pt idx="13">
                  <c:v>12</c:v>
                </c:pt>
                <c:pt idx="14">
                  <c:v>19</c:v>
                </c:pt>
                <c:pt idx="15">
                  <c:v>25</c:v>
                </c:pt>
                <c:pt idx="16">
                  <c:v>6</c:v>
                </c:pt>
                <c:pt idx="17">
                  <c:v>13</c:v>
                </c:pt>
                <c:pt idx="18">
                  <c:v>9</c:v>
                </c:pt>
                <c:pt idx="19">
                  <c:v>12</c:v>
                </c:pt>
                <c:pt idx="20">
                  <c:v>32</c:v>
                </c:pt>
                <c:pt idx="21">
                  <c:v>26</c:v>
                </c:pt>
                <c:pt idx="22">
                  <c:v>39</c:v>
                </c:pt>
                <c:pt idx="23">
                  <c:v>34</c:v>
                </c:pt>
                <c:pt idx="24">
                  <c:v>37</c:v>
                </c:pt>
                <c:pt idx="25">
                  <c:v>22</c:v>
                </c:pt>
                <c:pt idx="26">
                  <c:v>38</c:v>
                </c:pt>
                <c:pt idx="27">
                  <c:v>35</c:v>
                </c:pt>
                <c:pt idx="28">
                  <c:v>31</c:v>
                </c:pt>
                <c:pt idx="29">
                  <c:v>26</c:v>
                </c:pt>
                <c:pt idx="30">
                  <c:v>38</c:v>
                </c:pt>
                <c:pt idx="31">
                  <c:v>29</c:v>
                </c:pt>
                <c:pt idx="32">
                  <c:v>34</c:v>
                </c:pt>
                <c:pt idx="33">
                  <c:v>37</c:v>
                </c:pt>
                <c:pt idx="34">
                  <c:v>40</c:v>
                </c:pt>
                <c:pt idx="35">
                  <c:v>42</c:v>
                </c:pt>
              </c:numCache>
            </c:numRef>
          </c:xVal>
          <c:yVal>
            <c:numRef>
              <c:f>Kmeans!$D$7:$D$56</c:f>
              <c:numCache>
                <c:formatCode>General</c:formatCode>
                <c:ptCount val="50"/>
                <c:pt idx="0">
                  <c:v>45</c:v>
                </c:pt>
                <c:pt idx="1">
                  <c:v>44</c:v>
                </c:pt>
                <c:pt idx="2">
                  <c:v>43</c:v>
                </c:pt>
                <c:pt idx="3">
                  <c:v>43</c:v>
                </c:pt>
                <c:pt idx="4">
                  <c:v>42</c:v>
                </c:pt>
                <c:pt idx="5">
                  <c:v>42</c:v>
                </c:pt>
                <c:pt idx="6">
                  <c:v>41</c:v>
                </c:pt>
                <c:pt idx="7">
                  <c:v>41</c:v>
                </c:pt>
                <c:pt idx="8">
                  <c:v>40</c:v>
                </c:pt>
                <c:pt idx="9">
                  <c:v>40</c:v>
                </c:pt>
                <c:pt idx="10">
                  <c:v>39</c:v>
                </c:pt>
                <c:pt idx="11">
                  <c:v>39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37</c:v>
                </c:pt>
                <c:pt idx="17">
                  <c:v>35</c:v>
                </c:pt>
                <c:pt idx="18">
                  <c:v>34</c:v>
                </c:pt>
                <c:pt idx="19">
                  <c:v>34</c:v>
                </c:pt>
                <c:pt idx="20">
                  <c:v>27</c:v>
                </c:pt>
                <c:pt idx="21">
                  <c:v>25</c:v>
                </c:pt>
                <c:pt idx="22">
                  <c:v>24</c:v>
                </c:pt>
                <c:pt idx="23">
                  <c:v>23</c:v>
                </c:pt>
                <c:pt idx="24">
                  <c:v>23</c:v>
                </c:pt>
                <c:pt idx="25">
                  <c:v>22</c:v>
                </c:pt>
                <c:pt idx="26">
                  <c:v>21</c:v>
                </c:pt>
                <c:pt idx="27">
                  <c:v>20</c:v>
                </c:pt>
                <c:pt idx="28">
                  <c:v>18</c:v>
                </c:pt>
                <c:pt idx="29">
                  <c:v>16</c:v>
                </c:pt>
                <c:pt idx="30">
                  <c:v>13</c:v>
                </c:pt>
                <c:pt idx="31">
                  <c:v>11</c:v>
                </c:pt>
                <c:pt idx="32">
                  <c:v>11</c:v>
                </c:pt>
                <c:pt idx="33">
                  <c:v>10</c:v>
                </c:pt>
                <c:pt idx="34">
                  <c:v>9</c:v>
                </c:pt>
                <c:pt idx="35">
                  <c:v>9</c:v>
                </c:pt>
              </c:numCache>
            </c:numRef>
          </c:yVal>
        </c:ser>
        <c:ser>
          <c:idx val="1"/>
          <c:order val="1"/>
          <c:tx>
            <c:v>Cluster 1</c:v>
          </c:tx>
          <c:spPr>
            <a:ln w="28575">
              <a:noFill/>
            </a:ln>
          </c:spPr>
          <c:xVal>
            <c:numRef>
              <c:f>Kmeans!$F$8</c:f>
              <c:numCache>
                <c:formatCode>General</c:formatCode>
                <c:ptCount val="1"/>
                <c:pt idx="0">
                  <c:v>11.140396555062697</c:v>
                </c:pt>
              </c:numCache>
            </c:numRef>
          </c:xVal>
          <c:yVal>
            <c:numRef>
              <c:f>Kmeans!$G$8</c:f>
              <c:numCache>
                <c:formatCode>General</c:formatCode>
                <c:ptCount val="1"/>
                <c:pt idx="0">
                  <c:v>37.894708120465552</c:v>
                </c:pt>
              </c:numCache>
            </c:numRef>
          </c:yVal>
        </c:ser>
        <c:ser>
          <c:idx val="2"/>
          <c:order val="2"/>
          <c:tx>
            <c:v>Cluster 2</c:v>
          </c:tx>
          <c:spPr>
            <a:ln w="28575">
              <a:noFill/>
            </a:ln>
          </c:spPr>
          <c:xVal>
            <c:numRef>
              <c:f>Kmeans!$H$8</c:f>
              <c:numCache>
                <c:formatCode>General</c:formatCode>
                <c:ptCount val="1"/>
                <c:pt idx="0">
                  <c:v>33.806861898721934</c:v>
                </c:pt>
              </c:numCache>
            </c:numRef>
          </c:xVal>
          <c:yVal>
            <c:numRef>
              <c:f>Kmeans!$I$8</c:f>
              <c:numCache>
                <c:formatCode>General</c:formatCode>
                <c:ptCount val="1"/>
                <c:pt idx="0">
                  <c:v>22.362776334227778</c:v>
                </c:pt>
              </c:numCache>
            </c:numRef>
          </c:yVal>
        </c:ser>
        <c:ser>
          <c:idx val="3"/>
          <c:order val="3"/>
          <c:tx>
            <c:v>Cluster 3</c:v>
          </c:tx>
          <c:spPr>
            <a:ln w="28575">
              <a:noFill/>
            </a:ln>
          </c:spPr>
          <c:xVal>
            <c:numRef>
              <c:f>Kmeans!$J$8</c:f>
              <c:numCache>
                <c:formatCode>General</c:formatCode>
                <c:ptCount val="1"/>
                <c:pt idx="0">
                  <c:v>41.592430923377279</c:v>
                </c:pt>
              </c:numCache>
            </c:numRef>
          </c:xVal>
          <c:yVal>
            <c:numRef>
              <c:f>Kmeans!$K$8</c:f>
              <c:numCache>
                <c:formatCode>General</c:formatCode>
                <c:ptCount val="1"/>
                <c:pt idx="0">
                  <c:v>42.380485120991651</c:v>
                </c:pt>
              </c:numCache>
            </c:numRef>
          </c:yVal>
        </c:ser>
        <c:axId val="106285696"/>
        <c:axId val="107611264"/>
      </c:scatterChart>
      <c:valAx>
        <c:axId val="106285696"/>
        <c:scaling>
          <c:orientation val="minMax"/>
        </c:scaling>
        <c:axPos val="b"/>
        <c:majorGridlines/>
        <c:minorGridlines/>
        <c:title>
          <c:layout/>
        </c:title>
        <c:numFmt formatCode="General" sourceLinked="1"/>
        <c:tickLblPos val="nextTo"/>
        <c:crossAx val="107611264"/>
        <c:crosses val="autoZero"/>
        <c:crossBetween val="midCat"/>
      </c:valAx>
      <c:valAx>
        <c:axId val="107611264"/>
        <c:scaling>
          <c:orientation val="minMax"/>
        </c:scaling>
        <c:axPos val="l"/>
        <c:majorGridlines/>
        <c:minorGridlines/>
        <c:title>
          <c:layout/>
        </c:title>
        <c:numFmt formatCode="General" sourceLinked="1"/>
        <c:tickLblPos val="nextTo"/>
        <c:crossAx val="1062856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885825</xdr:colOff>
      <xdr:row>58</xdr:row>
      <xdr:rowOff>19050</xdr:rowOff>
    </xdr:from>
    <xdr:to>
      <xdr:col>25</xdr:col>
      <xdr:colOff>28575</xdr:colOff>
      <xdr:row>72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</xdr:colOff>
      <xdr:row>57</xdr:row>
      <xdr:rowOff>190499</xdr:rowOff>
    </xdr:from>
    <xdr:to>
      <xdr:col>18</xdr:col>
      <xdr:colOff>85725</xdr:colOff>
      <xdr:row>72</xdr:row>
      <xdr:rowOff>180974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19049</xdr:colOff>
      <xdr:row>76</xdr:row>
      <xdr:rowOff>19050</xdr:rowOff>
    </xdr:from>
    <xdr:to>
      <xdr:col>18</xdr:col>
      <xdr:colOff>57149</xdr:colOff>
      <xdr:row>90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control" Target="../activeX/activeX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3.vml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control" Target="../activeX/activeX7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U92"/>
  <sheetViews>
    <sheetView tabSelected="1" topLeftCell="B3" workbookViewId="0">
      <selection activeCell="J16" sqref="J16"/>
    </sheetView>
  </sheetViews>
  <sheetFormatPr defaultRowHeight="15"/>
  <cols>
    <col min="6" max="6" width="8.140625" customWidth="1"/>
    <col min="8" max="8" width="15.28515625" customWidth="1"/>
    <col min="10" max="10" width="9.7109375" customWidth="1"/>
    <col min="12" max="12" width="10.5703125" bestFit="1" customWidth="1"/>
    <col min="13" max="13" width="12" bestFit="1" customWidth="1"/>
    <col min="14" max="16" width="16.42578125" bestFit="1" customWidth="1"/>
    <col min="17" max="18" width="5.7109375" customWidth="1"/>
    <col min="19" max="19" width="21.42578125" bestFit="1" customWidth="1"/>
    <col min="20" max="20" width="19.5703125" bestFit="1" customWidth="1"/>
  </cols>
  <sheetData>
    <row r="1" spans="2:20" ht="15.75">
      <c r="H1" s="54" t="s">
        <v>42</v>
      </c>
      <c r="I1" s="54"/>
    </row>
    <row r="2" spans="2:20">
      <c r="H2" s="55">
        <v>3</v>
      </c>
      <c r="I2" s="55"/>
    </row>
    <row r="5" spans="2:20" ht="15.75" customHeight="1">
      <c r="B5" s="51" t="s">
        <v>0</v>
      </c>
      <c r="C5" s="52"/>
      <c r="D5" s="53"/>
      <c r="G5" s="6"/>
      <c r="I5" s="6"/>
      <c r="K5" s="6"/>
    </row>
    <row r="6" spans="2:20" ht="30" customHeight="1">
      <c r="B6" s="4" t="s">
        <v>1</v>
      </c>
      <c r="C6" s="4" t="s">
        <v>2</v>
      </c>
      <c r="D6" s="4" t="s">
        <v>3</v>
      </c>
      <c r="F6" s="7" t="s">
        <v>4</v>
      </c>
      <c r="G6" s="8"/>
      <c r="H6" s="7" t="s">
        <v>5</v>
      </c>
      <c r="I6" s="8"/>
      <c r="J6" s="7" t="s">
        <v>6</v>
      </c>
      <c r="K6" s="8"/>
      <c r="M6" s="14" t="s">
        <v>12</v>
      </c>
      <c r="N6" s="14" t="s">
        <v>22</v>
      </c>
      <c r="O6" s="14" t="s">
        <v>9</v>
      </c>
      <c r="P6" s="14" t="s">
        <v>23</v>
      </c>
      <c r="Q6" s="14" t="s">
        <v>2</v>
      </c>
      <c r="R6" s="14" t="s">
        <v>3</v>
      </c>
      <c r="S6" s="14" t="s">
        <v>10</v>
      </c>
      <c r="T6" s="14" t="s">
        <v>11</v>
      </c>
    </row>
    <row r="7" spans="2:20" ht="15.75">
      <c r="B7" s="5">
        <v>1</v>
      </c>
      <c r="C7" s="3">
        <v>41</v>
      </c>
      <c r="D7" s="3">
        <v>45</v>
      </c>
      <c r="F7" s="10" t="s">
        <v>2</v>
      </c>
      <c r="G7" s="10" t="s">
        <v>3</v>
      </c>
      <c r="H7" s="10" t="s">
        <v>2</v>
      </c>
      <c r="I7" s="10" t="s">
        <v>3</v>
      </c>
      <c r="J7" s="10" t="s">
        <v>2</v>
      </c>
      <c r="K7" s="10" t="s">
        <v>3</v>
      </c>
      <c r="M7" s="3">
        <v>1</v>
      </c>
      <c r="N7" s="1">
        <f>SQRT(($Q7-$F$8)^2+($R7-$G$8)^2)</f>
        <v>30.693339514987446</v>
      </c>
      <c r="O7" s="1">
        <f>IF($H$2&gt;1,SQRT(($Q7-$H$8)^2+($R7-$I$8)^2),0)</f>
        <v>23.752581565763673</v>
      </c>
      <c r="P7" s="1">
        <f>IF($H$2&gt;2,SQRT(($Q7-$J$8)^2+($R7-$K$8)^2),0)</f>
        <v>2.6856717223666378</v>
      </c>
      <c r="Q7" s="1">
        <f>INDEX($C$7:$C$56,M7,1)</f>
        <v>41</v>
      </c>
      <c r="R7" s="1">
        <f>INDEX($D$7:$D$56,M7,1)</f>
        <v>45</v>
      </c>
      <c r="S7" s="1" t="str">
        <f>IF(MIN(N7:P7)=N7,"Cluster 1", IF(MIN(N7:P7)=O7,"Cluster 2", "Cluster 3"))</f>
        <v>Cluster 3</v>
      </c>
      <c r="T7" s="1">
        <f>MIN(N7:P7)</f>
        <v>2.6856717223666378</v>
      </c>
    </row>
    <row r="8" spans="2:20" ht="15.75">
      <c r="B8" s="5">
        <v>2</v>
      </c>
      <c r="C8" s="3">
        <v>39</v>
      </c>
      <c r="D8" s="3">
        <v>44</v>
      </c>
      <c r="F8" s="1">
        <v>11.140396555062697</v>
      </c>
      <c r="G8" s="1">
        <v>37.894708120465552</v>
      </c>
      <c r="H8" s="1">
        <v>33.806861898721934</v>
      </c>
      <c r="I8" s="1">
        <v>22.362776334227778</v>
      </c>
      <c r="J8" s="1">
        <v>41.592430923377279</v>
      </c>
      <c r="K8" s="1">
        <v>42.380485120991651</v>
      </c>
      <c r="M8" s="13">
        <v>2</v>
      </c>
      <c r="N8" s="1">
        <f>SQRT(($Q8-$F$8)^2+($R8-$G$8)^2)</f>
        <v>28.520730934593377</v>
      </c>
      <c r="O8" s="1">
        <f t="shared" ref="O8:O42" si="0">IF($H$2&gt;1,SQRT(($Q8-$H$8)^2+($R8-$I$8)^2),0)</f>
        <v>22.251699514904463</v>
      </c>
      <c r="P8" s="1">
        <f t="shared" ref="P8:P42" si="1">IF($H$2&gt;2,SQRT(($Q8-$J$8)^2+($R8-$K$8)^2),0)</f>
        <v>3.0567182624200417</v>
      </c>
      <c r="Q8" s="1">
        <f t="shared" ref="Q8:Q56" si="2">INDEX($C$7:$C$56,M8,1)</f>
        <v>39</v>
      </c>
      <c r="R8" s="1">
        <f t="shared" ref="R8:R56" si="3">INDEX($D$7:$D$56,M8,1)</f>
        <v>44</v>
      </c>
      <c r="S8" s="1" t="str">
        <f t="shared" ref="S8:S56" si="4">IF(MIN(N8:P8)=N8,"Cluster 1", IF(MIN(N8:P8)=O8,"Cluster 2", "Cluster 3"))</f>
        <v>Cluster 3</v>
      </c>
      <c r="T8" s="1">
        <f t="shared" ref="T8:T56" si="5">MIN(N8:P8)</f>
        <v>3.0567182624200417</v>
      </c>
    </row>
    <row r="9" spans="2:20" ht="15.75">
      <c r="B9" s="5">
        <v>3</v>
      </c>
      <c r="C9" s="3">
        <v>42</v>
      </c>
      <c r="D9" s="3">
        <v>43</v>
      </c>
      <c r="M9" s="3">
        <v>3</v>
      </c>
      <c r="N9" s="1">
        <f t="shared" ref="N9:N42" si="6">SQRT(($Q9-$F$8)^2+($R9-$G$8)^2)</f>
        <v>31.27905257443113</v>
      </c>
      <c r="O9" s="1">
        <f t="shared" si="0"/>
        <v>22.204110263140997</v>
      </c>
      <c r="P9" s="1">
        <f t="shared" si="1"/>
        <v>0.74156000265105138</v>
      </c>
      <c r="Q9" s="1">
        <f t="shared" si="2"/>
        <v>42</v>
      </c>
      <c r="R9" s="1">
        <f t="shared" si="3"/>
        <v>43</v>
      </c>
      <c r="S9" s="1" t="str">
        <f t="shared" si="4"/>
        <v>Cluster 3</v>
      </c>
      <c r="T9" s="1">
        <f t="shared" si="5"/>
        <v>0.74156000265105138</v>
      </c>
    </row>
    <row r="10" spans="2:20" ht="15.75">
      <c r="B10" s="5">
        <v>4</v>
      </c>
      <c r="C10" s="3">
        <v>44</v>
      </c>
      <c r="D10" s="3">
        <v>43</v>
      </c>
      <c r="G10" s="49" t="s">
        <v>8</v>
      </c>
      <c r="H10" s="49"/>
      <c r="I10" s="9" t="s">
        <v>2</v>
      </c>
      <c r="J10" s="9" t="s">
        <v>3</v>
      </c>
      <c r="M10" s="13">
        <v>4</v>
      </c>
      <c r="N10" s="1">
        <f t="shared" si="6"/>
        <v>33.253835022953005</v>
      </c>
      <c r="O10" s="1">
        <f t="shared" si="0"/>
        <v>23.017277531950551</v>
      </c>
      <c r="P10" s="1">
        <f t="shared" si="1"/>
        <v>2.4859982992799314</v>
      </c>
      <c r="Q10" s="1">
        <f t="shared" si="2"/>
        <v>44</v>
      </c>
      <c r="R10" s="1">
        <f t="shared" si="3"/>
        <v>43</v>
      </c>
      <c r="S10" s="1" t="str">
        <f t="shared" si="4"/>
        <v>Cluster 3</v>
      </c>
      <c r="T10" s="1">
        <f t="shared" si="5"/>
        <v>2.4859982992799314</v>
      </c>
    </row>
    <row r="11" spans="2:20" ht="15.75">
      <c r="B11" s="5">
        <v>5</v>
      </c>
      <c r="C11" s="3">
        <v>10</v>
      </c>
      <c r="D11" s="3">
        <v>42</v>
      </c>
      <c r="G11" s="50">
        <v>1</v>
      </c>
      <c r="H11" s="50"/>
      <c r="I11" s="5">
        <f>INDEX(C7:C20,$G$11,1)</f>
        <v>41</v>
      </c>
      <c r="J11" s="5">
        <f>INDEX(D7:D20,$G$11,1)</f>
        <v>45</v>
      </c>
      <c r="M11" s="3">
        <v>5</v>
      </c>
      <c r="N11" s="1">
        <f t="shared" si="6"/>
        <v>4.2607423905899724</v>
      </c>
      <c r="O11" s="1">
        <f t="shared" si="0"/>
        <v>30.860771648881091</v>
      </c>
      <c r="P11" s="1">
        <f t="shared" si="1"/>
        <v>31.594722036689308</v>
      </c>
      <c r="Q11" s="1">
        <f t="shared" si="2"/>
        <v>10</v>
      </c>
      <c r="R11" s="1">
        <f t="shared" si="3"/>
        <v>42</v>
      </c>
      <c r="S11" s="1" t="str">
        <f t="shared" si="4"/>
        <v>Cluster 1</v>
      </c>
      <c r="T11" s="1">
        <f t="shared" si="5"/>
        <v>4.2607423905899724</v>
      </c>
    </row>
    <row r="12" spans="2:20" ht="15.75">
      <c r="B12" s="5">
        <v>6</v>
      </c>
      <c r="C12" s="3">
        <v>38</v>
      </c>
      <c r="D12" s="3">
        <v>42</v>
      </c>
      <c r="M12" s="13">
        <v>6</v>
      </c>
      <c r="N12" s="1">
        <f t="shared" si="6"/>
        <v>27.171524039616536</v>
      </c>
      <c r="O12" s="1">
        <f t="shared" si="0"/>
        <v>20.079914353302268</v>
      </c>
      <c r="P12" s="1">
        <f t="shared" si="1"/>
        <v>3.6125238914827067</v>
      </c>
      <c r="Q12" s="1">
        <f t="shared" si="2"/>
        <v>38</v>
      </c>
      <c r="R12" s="1">
        <f t="shared" si="3"/>
        <v>42</v>
      </c>
      <c r="S12" s="1" t="str">
        <f t="shared" si="4"/>
        <v>Cluster 3</v>
      </c>
      <c r="T12" s="1">
        <f t="shared" si="5"/>
        <v>3.6125238914827067</v>
      </c>
    </row>
    <row r="13" spans="2:20" ht="15.75">
      <c r="B13" s="5">
        <v>7</v>
      </c>
      <c r="C13" s="3">
        <v>8</v>
      </c>
      <c r="D13" s="3">
        <v>41</v>
      </c>
      <c r="M13" s="3">
        <v>7</v>
      </c>
      <c r="N13" s="1">
        <f t="shared" si="6"/>
        <v>4.4164384044331744</v>
      </c>
      <c r="O13" s="1">
        <f t="shared" si="0"/>
        <v>31.833005309391165</v>
      </c>
      <c r="P13" s="1">
        <f t="shared" si="1"/>
        <v>33.62078456120787</v>
      </c>
      <c r="Q13" s="1">
        <f t="shared" si="2"/>
        <v>8</v>
      </c>
      <c r="R13" s="1">
        <f t="shared" si="3"/>
        <v>41</v>
      </c>
      <c r="S13" s="1" t="str">
        <f t="shared" si="4"/>
        <v>Cluster 1</v>
      </c>
      <c r="T13" s="1">
        <f t="shared" si="5"/>
        <v>4.4164384044331744</v>
      </c>
    </row>
    <row r="14" spans="2:20" ht="15.75">
      <c r="B14" s="5">
        <v>8</v>
      </c>
      <c r="C14" s="3">
        <v>41</v>
      </c>
      <c r="D14" s="3">
        <v>41</v>
      </c>
      <c r="M14" s="13">
        <v>8</v>
      </c>
      <c r="N14" s="1">
        <f t="shared" si="6"/>
        <v>30.020638826414309</v>
      </c>
      <c r="O14" s="1">
        <f t="shared" si="0"/>
        <v>19.97717051316523</v>
      </c>
      <c r="P14" s="1">
        <f t="shared" si="1"/>
        <v>1.5022361892368949</v>
      </c>
      <c r="Q14" s="1">
        <f t="shared" si="2"/>
        <v>41</v>
      </c>
      <c r="R14" s="1">
        <f t="shared" si="3"/>
        <v>41</v>
      </c>
      <c r="S14" s="1" t="str">
        <f t="shared" si="4"/>
        <v>Cluster 3</v>
      </c>
      <c r="T14" s="1">
        <f t="shared" si="5"/>
        <v>1.5022361892368949</v>
      </c>
    </row>
    <row r="15" spans="2:20" ht="15.75">
      <c r="B15" s="5">
        <v>9</v>
      </c>
      <c r="C15" s="3">
        <v>13</v>
      </c>
      <c r="D15" s="3">
        <v>40</v>
      </c>
      <c r="G15" s="18" t="s">
        <v>17</v>
      </c>
      <c r="H15" s="19" t="s">
        <v>14</v>
      </c>
      <c r="I15" s="20" t="s">
        <v>15</v>
      </c>
      <c r="J15" s="21" t="s">
        <v>16</v>
      </c>
      <c r="M15" s="3">
        <v>9</v>
      </c>
      <c r="N15" s="1">
        <f t="shared" si="6"/>
        <v>2.8089818209551258</v>
      </c>
      <c r="O15" s="1">
        <f t="shared" si="0"/>
        <v>27.276311347192131</v>
      </c>
      <c r="P15" s="1">
        <f t="shared" si="1"/>
        <v>28.691354368857599</v>
      </c>
      <c r="Q15" s="1">
        <f t="shared" si="2"/>
        <v>13</v>
      </c>
      <c r="R15" s="1">
        <f t="shared" si="3"/>
        <v>40</v>
      </c>
      <c r="S15" s="1" t="str">
        <f t="shared" si="4"/>
        <v>Cluster 1</v>
      </c>
      <c r="T15" s="1">
        <f t="shared" si="5"/>
        <v>2.8089818209551258</v>
      </c>
    </row>
    <row r="16" spans="2:20" ht="15.75">
      <c r="B16" s="5">
        <v>10</v>
      </c>
      <c r="C16" s="3">
        <v>45</v>
      </c>
      <c r="D16" s="3">
        <v>40</v>
      </c>
      <c r="G16" s="2">
        <v>1</v>
      </c>
      <c r="H16" s="2" t="str">
        <f>IF($S7=H$15,$T7,"")</f>
        <v/>
      </c>
      <c r="I16" s="2" t="str">
        <f>IF($S7=I$15,$T7,"")</f>
        <v/>
      </c>
      <c r="J16" s="2">
        <f>IF($S7=J$15,$T7,"")</f>
        <v>2.6856717223666378</v>
      </c>
      <c r="M16" s="13">
        <v>10</v>
      </c>
      <c r="N16" s="1">
        <f t="shared" si="6"/>
        <v>33.924990778870431</v>
      </c>
      <c r="O16" s="1">
        <f t="shared" si="0"/>
        <v>20.889183784694858</v>
      </c>
      <c r="P16" s="1">
        <f t="shared" si="1"/>
        <v>4.156709807434007</v>
      </c>
      <c r="Q16" s="1">
        <f t="shared" si="2"/>
        <v>45</v>
      </c>
      <c r="R16" s="1">
        <f t="shared" si="3"/>
        <v>40</v>
      </c>
      <c r="S16" s="1" t="str">
        <f t="shared" si="4"/>
        <v>Cluster 3</v>
      </c>
      <c r="T16" s="1">
        <f t="shared" si="5"/>
        <v>4.156709807434007</v>
      </c>
    </row>
    <row r="17" spans="2:20" ht="15.75">
      <c r="B17" s="5">
        <v>11</v>
      </c>
      <c r="C17" s="3">
        <v>7</v>
      </c>
      <c r="D17" s="3">
        <v>39</v>
      </c>
      <c r="G17" s="2">
        <v>2</v>
      </c>
      <c r="H17" s="2" t="str">
        <f t="shared" ref="H17:H30" si="7">IF(S8=$H$15,T8,"")</f>
        <v/>
      </c>
      <c r="I17" s="2" t="str">
        <f t="shared" ref="I17:J29" si="8">IF($S8=I$15,$T8,"")</f>
        <v/>
      </c>
      <c r="J17" s="2">
        <f t="shared" si="8"/>
        <v>3.0567182624200417</v>
      </c>
      <c r="M17" s="3">
        <v>11</v>
      </c>
      <c r="N17" s="1">
        <f t="shared" si="6"/>
        <v>4.2853884038835783</v>
      </c>
      <c r="O17" s="1">
        <f t="shared" si="0"/>
        <v>31.550040509674169</v>
      </c>
      <c r="P17" s="1">
        <f t="shared" si="1"/>
        <v>34.757214457460115</v>
      </c>
      <c r="Q17" s="1">
        <f t="shared" si="2"/>
        <v>7</v>
      </c>
      <c r="R17" s="1">
        <f t="shared" si="3"/>
        <v>39</v>
      </c>
      <c r="S17" s="1" t="str">
        <f t="shared" si="4"/>
        <v>Cluster 1</v>
      </c>
      <c r="T17" s="1">
        <f t="shared" si="5"/>
        <v>4.2853884038835783</v>
      </c>
    </row>
    <row r="18" spans="2:20" ht="15.75">
      <c r="B18" s="5">
        <v>12</v>
      </c>
      <c r="C18" s="3">
        <v>42</v>
      </c>
      <c r="D18" s="3">
        <v>39</v>
      </c>
      <c r="G18" s="2">
        <v>3</v>
      </c>
      <c r="H18" s="2" t="str">
        <f t="shared" si="7"/>
        <v/>
      </c>
      <c r="I18" s="2" t="str">
        <f t="shared" si="8"/>
        <v/>
      </c>
      <c r="J18" s="2">
        <f t="shared" si="8"/>
        <v>0.74156000265105138</v>
      </c>
      <c r="M18" s="13">
        <v>12</v>
      </c>
      <c r="N18" s="1">
        <f t="shared" si="6"/>
        <v>30.879391103416385</v>
      </c>
      <c r="O18" s="1">
        <f t="shared" si="0"/>
        <v>18.5452075548252</v>
      </c>
      <c r="P18" s="1">
        <f t="shared" si="1"/>
        <v>3.404965815608878</v>
      </c>
      <c r="Q18" s="1">
        <f t="shared" si="2"/>
        <v>42</v>
      </c>
      <c r="R18" s="1">
        <f t="shared" si="3"/>
        <v>39</v>
      </c>
      <c r="S18" s="1" t="str">
        <f t="shared" si="4"/>
        <v>Cluster 3</v>
      </c>
      <c r="T18" s="1">
        <f t="shared" si="5"/>
        <v>3.404965815608878</v>
      </c>
    </row>
    <row r="19" spans="2:20" ht="15.75">
      <c r="B19" s="5">
        <v>13</v>
      </c>
      <c r="C19" s="3">
        <v>9</v>
      </c>
      <c r="D19" s="3">
        <v>38</v>
      </c>
      <c r="G19" s="2">
        <v>4</v>
      </c>
      <c r="H19" s="2" t="str">
        <f t="shared" si="7"/>
        <v/>
      </c>
      <c r="I19" s="2" t="str">
        <f t="shared" si="8"/>
        <v/>
      </c>
      <c r="J19" s="2">
        <f t="shared" si="8"/>
        <v>2.4859982992799314</v>
      </c>
      <c r="M19" s="3">
        <v>13</v>
      </c>
      <c r="N19" s="1">
        <f t="shared" si="6"/>
        <v>2.1429847859516311</v>
      </c>
      <c r="O19" s="1">
        <f t="shared" si="0"/>
        <v>29.324105463520091</v>
      </c>
      <c r="P19" s="1">
        <f t="shared" si="1"/>
        <v>32.885486211858698</v>
      </c>
      <c r="Q19" s="1">
        <f t="shared" si="2"/>
        <v>9</v>
      </c>
      <c r="R19" s="1">
        <f t="shared" si="3"/>
        <v>38</v>
      </c>
      <c r="S19" s="1" t="str">
        <f t="shared" si="4"/>
        <v>Cluster 1</v>
      </c>
      <c r="T19" s="1">
        <f t="shared" si="5"/>
        <v>2.1429847859516311</v>
      </c>
    </row>
    <row r="20" spans="2:20" ht="15.75">
      <c r="B20" s="5">
        <v>14</v>
      </c>
      <c r="C20" s="3">
        <v>12</v>
      </c>
      <c r="D20" s="3">
        <v>38</v>
      </c>
      <c r="G20" s="2">
        <v>5</v>
      </c>
      <c r="H20" s="2">
        <f t="shared" si="7"/>
        <v>4.2607423905899724</v>
      </c>
      <c r="I20" s="2" t="str">
        <f t="shared" si="8"/>
        <v/>
      </c>
      <c r="J20" s="2" t="str">
        <f t="shared" si="8"/>
        <v/>
      </c>
      <c r="M20" s="13">
        <v>14</v>
      </c>
      <c r="N20" s="1">
        <f t="shared" si="6"/>
        <v>0.86602798017383686</v>
      </c>
      <c r="O20" s="1">
        <f t="shared" si="0"/>
        <v>26.833970817665378</v>
      </c>
      <c r="P20" s="1">
        <f t="shared" si="1"/>
        <v>29.914889567740094</v>
      </c>
      <c r="Q20" s="1">
        <f t="shared" si="2"/>
        <v>12</v>
      </c>
      <c r="R20" s="1">
        <f t="shared" si="3"/>
        <v>38</v>
      </c>
      <c r="S20" s="1" t="str">
        <f t="shared" si="4"/>
        <v>Cluster 1</v>
      </c>
      <c r="T20" s="1">
        <f t="shared" si="5"/>
        <v>0.86602798017383686</v>
      </c>
    </row>
    <row r="21" spans="2:20" ht="15.75">
      <c r="B21" s="15">
        <v>15</v>
      </c>
      <c r="C21" s="3">
        <v>19</v>
      </c>
      <c r="D21" s="3">
        <v>38</v>
      </c>
      <c r="G21" s="2">
        <v>6</v>
      </c>
      <c r="H21" s="2" t="str">
        <f t="shared" si="7"/>
        <v/>
      </c>
      <c r="I21" s="2" t="str">
        <f t="shared" si="8"/>
        <v/>
      </c>
      <c r="J21" s="2">
        <f t="shared" si="8"/>
        <v>3.6125238914827067</v>
      </c>
      <c r="M21" s="3">
        <v>15</v>
      </c>
      <c r="N21" s="1">
        <f t="shared" si="6"/>
        <v>7.8603086893306058</v>
      </c>
      <c r="O21" s="1">
        <f t="shared" si="0"/>
        <v>21.535225173218183</v>
      </c>
      <c r="P21" s="1">
        <f t="shared" si="1"/>
        <v>23.013182850766281</v>
      </c>
      <c r="Q21" s="1">
        <f t="shared" si="2"/>
        <v>19</v>
      </c>
      <c r="R21" s="1">
        <f t="shared" si="3"/>
        <v>38</v>
      </c>
      <c r="S21" s="1" t="str">
        <f t="shared" si="4"/>
        <v>Cluster 1</v>
      </c>
      <c r="T21" s="1">
        <f t="shared" si="5"/>
        <v>7.8603086893306058</v>
      </c>
    </row>
    <row r="22" spans="2:20" ht="15.75">
      <c r="B22" s="15">
        <v>16</v>
      </c>
      <c r="C22" s="3">
        <v>25</v>
      </c>
      <c r="D22" s="3">
        <v>38</v>
      </c>
      <c r="E22" s="12"/>
      <c r="G22" s="2">
        <v>7</v>
      </c>
      <c r="H22" s="2">
        <f t="shared" si="7"/>
        <v>4.4164384044331744</v>
      </c>
      <c r="I22" s="2" t="str">
        <f t="shared" si="8"/>
        <v/>
      </c>
      <c r="J22" s="2" t="str">
        <f t="shared" si="8"/>
        <v/>
      </c>
      <c r="M22" s="13">
        <v>16</v>
      </c>
      <c r="N22" s="1">
        <f t="shared" si="6"/>
        <v>13.860003392164586</v>
      </c>
      <c r="O22" s="1">
        <f t="shared" si="0"/>
        <v>17.946687172749932</v>
      </c>
      <c r="P22" s="1">
        <f t="shared" si="1"/>
        <v>17.160926951720171</v>
      </c>
      <c r="Q22" s="1">
        <f t="shared" si="2"/>
        <v>25</v>
      </c>
      <c r="R22" s="1">
        <f t="shared" si="3"/>
        <v>38</v>
      </c>
      <c r="S22" s="1" t="str">
        <f t="shared" si="4"/>
        <v>Cluster 1</v>
      </c>
      <c r="T22" s="1">
        <f t="shared" si="5"/>
        <v>13.860003392164586</v>
      </c>
    </row>
    <row r="23" spans="2:20" ht="15.75">
      <c r="B23" s="15">
        <v>17</v>
      </c>
      <c r="C23" s="3">
        <v>6</v>
      </c>
      <c r="D23" s="3">
        <v>37</v>
      </c>
      <c r="G23" s="2">
        <v>8</v>
      </c>
      <c r="H23" s="2" t="str">
        <f t="shared" si="7"/>
        <v/>
      </c>
      <c r="I23" s="2" t="str">
        <f t="shared" si="8"/>
        <v/>
      </c>
      <c r="J23" s="2">
        <f t="shared" si="8"/>
        <v>1.5022361892368949</v>
      </c>
      <c r="M23" s="3">
        <v>17</v>
      </c>
      <c r="N23" s="1">
        <f t="shared" si="6"/>
        <v>5.2176794999431921</v>
      </c>
      <c r="O23" s="1">
        <f t="shared" si="0"/>
        <v>31.424033561852561</v>
      </c>
      <c r="P23" s="1">
        <f t="shared" si="1"/>
        <v>35.996815958812185</v>
      </c>
      <c r="Q23" s="1">
        <f t="shared" si="2"/>
        <v>6</v>
      </c>
      <c r="R23" s="1">
        <f t="shared" si="3"/>
        <v>37</v>
      </c>
      <c r="S23" s="1" t="str">
        <f t="shared" si="4"/>
        <v>Cluster 1</v>
      </c>
      <c r="T23" s="1">
        <f t="shared" si="5"/>
        <v>5.2176794999431921</v>
      </c>
    </row>
    <row r="24" spans="2:20" ht="15.75">
      <c r="B24" s="15">
        <v>18</v>
      </c>
      <c r="C24" s="3">
        <v>13</v>
      </c>
      <c r="D24" s="3">
        <v>35</v>
      </c>
      <c r="G24" s="2">
        <v>9</v>
      </c>
      <c r="H24" s="2">
        <f t="shared" si="7"/>
        <v>2.8089818209551258</v>
      </c>
      <c r="I24" s="2" t="str">
        <f t="shared" si="8"/>
        <v/>
      </c>
      <c r="J24" s="2" t="str">
        <f t="shared" si="8"/>
        <v/>
      </c>
      <c r="M24" s="13">
        <v>18</v>
      </c>
      <c r="N24" s="1">
        <f t="shared" si="6"/>
        <v>3.4405610116828176</v>
      </c>
      <c r="O24" s="1">
        <f t="shared" si="0"/>
        <v>24.343888844045438</v>
      </c>
      <c r="P24" s="1">
        <f t="shared" si="1"/>
        <v>29.529623545336307</v>
      </c>
      <c r="Q24" s="1">
        <f t="shared" si="2"/>
        <v>13</v>
      </c>
      <c r="R24" s="1">
        <f t="shared" si="3"/>
        <v>35</v>
      </c>
      <c r="S24" s="1" t="str">
        <f t="shared" si="4"/>
        <v>Cluster 1</v>
      </c>
      <c r="T24" s="1">
        <f t="shared" si="5"/>
        <v>3.4405610116828176</v>
      </c>
    </row>
    <row r="25" spans="2:20" ht="15.75">
      <c r="B25" s="15">
        <v>19</v>
      </c>
      <c r="C25" s="3">
        <v>9</v>
      </c>
      <c r="D25" s="3">
        <v>34</v>
      </c>
      <c r="G25" s="2">
        <v>10</v>
      </c>
      <c r="H25" s="2" t="str">
        <f t="shared" si="7"/>
        <v/>
      </c>
      <c r="I25" s="2" t="str">
        <f t="shared" si="8"/>
        <v/>
      </c>
      <c r="J25" s="2">
        <f t="shared" si="8"/>
        <v>4.156709807434007</v>
      </c>
      <c r="M25" s="3">
        <v>19</v>
      </c>
      <c r="N25" s="1">
        <f t="shared" si="6"/>
        <v>4.4441026941942479</v>
      </c>
      <c r="O25" s="1">
        <f t="shared" si="0"/>
        <v>27.400827942043488</v>
      </c>
      <c r="P25" s="1">
        <f t="shared" si="1"/>
        <v>33.652623736616469</v>
      </c>
      <c r="Q25" s="1">
        <f t="shared" si="2"/>
        <v>9</v>
      </c>
      <c r="R25" s="1">
        <f t="shared" si="3"/>
        <v>34</v>
      </c>
      <c r="S25" s="1" t="str">
        <f t="shared" si="4"/>
        <v>Cluster 1</v>
      </c>
      <c r="T25" s="1">
        <f t="shared" si="5"/>
        <v>4.4441026941942479</v>
      </c>
    </row>
    <row r="26" spans="2:20" ht="15.75">
      <c r="B26" s="15">
        <v>20</v>
      </c>
      <c r="C26" s="3">
        <v>12</v>
      </c>
      <c r="D26" s="3">
        <v>34</v>
      </c>
      <c r="G26" s="2">
        <v>11</v>
      </c>
      <c r="H26" s="2">
        <f t="shared" si="7"/>
        <v>4.2853884038835783</v>
      </c>
      <c r="I26" s="2" t="str">
        <f t="shared" si="8"/>
        <v/>
      </c>
      <c r="J26" s="2" t="str">
        <f t="shared" si="8"/>
        <v/>
      </c>
      <c r="M26" s="13">
        <v>20</v>
      </c>
      <c r="N26" s="1">
        <f t="shared" si="6"/>
        <v>3.988441979792158</v>
      </c>
      <c r="O26" s="1">
        <f t="shared" si="0"/>
        <v>24.717690031981942</v>
      </c>
      <c r="P26" s="1">
        <f t="shared" si="1"/>
        <v>30.756210735687489</v>
      </c>
      <c r="Q26" s="1">
        <f t="shared" si="2"/>
        <v>12</v>
      </c>
      <c r="R26" s="1">
        <f t="shared" si="3"/>
        <v>34</v>
      </c>
      <c r="S26" s="1" t="str">
        <f t="shared" si="4"/>
        <v>Cluster 1</v>
      </c>
      <c r="T26" s="1">
        <f t="shared" si="5"/>
        <v>3.988441979792158</v>
      </c>
    </row>
    <row r="27" spans="2:20" ht="15.75">
      <c r="B27" s="15">
        <v>21</v>
      </c>
      <c r="C27" s="3">
        <v>32</v>
      </c>
      <c r="D27" s="3">
        <v>27</v>
      </c>
      <c r="G27" s="2">
        <v>12</v>
      </c>
      <c r="H27" s="2" t="str">
        <f t="shared" si="7"/>
        <v/>
      </c>
      <c r="I27" s="2" t="str">
        <f t="shared" si="8"/>
        <v/>
      </c>
      <c r="J27" s="2">
        <f t="shared" si="8"/>
        <v>3.404965815608878</v>
      </c>
      <c r="M27" s="3">
        <v>21</v>
      </c>
      <c r="N27" s="1">
        <f t="shared" si="6"/>
        <v>23.533332125098184</v>
      </c>
      <c r="O27" s="1">
        <f t="shared" si="0"/>
        <v>4.976805526384469</v>
      </c>
      <c r="P27" s="1">
        <f t="shared" si="1"/>
        <v>18.126611751146715</v>
      </c>
      <c r="Q27" s="1">
        <f t="shared" si="2"/>
        <v>32</v>
      </c>
      <c r="R27" s="1">
        <f t="shared" si="3"/>
        <v>27</v>
      </c>
      <c r="S27" s="1" t="str">
        <f t="shared" si="4"/>
        <v>Cluster 2</v>
      </c>
      <c r="T27" s="1">
        <f t="shared" si="5"/>
        <v>4.976805526384469</v>
      </c>
    </row>
    <row r="28" spans="2:20" ht="15.75">
      <c r="B28" s="15">
        <v>22</v>
      </c>
      <c r="C28" s="3">
        <v>26</v>
      </c>
      <c r="D28" s="3">
        <v>25</v>
      </c>
      <c r="G28" s="2">
        <v>13</v>
      </c>
      <c r="H28" s="2">
        <f t="shared" si="7"/>
        <v>2.1429847859516311</v>
      </c>
      <c r="I28" s="2" t="str">
        <f t="shared" si="8"/>
        <v/>
      </c>
      <c r="J28" s="2" t="str">
        <f t="shared" si="8"/>
        <v/>
      </c>
      <c r="M28" s="13">
        <v>22</v>
      </c>
      <c r="N28" s="1">
        <f t="shared" si="6"/>
        <v>19.67438212632846</v>
      </c>
      <c r="O28" s="1">
        <f t="shared" si="0"/>
        <v>8.2402694961406038</v>
      </c>
      <c r="P28" s="1">
        <f t="shared" si="1"/>
        <v>23.349628800931807</v>
      </c>
      <c r="Q28" s="1">
        <f t="shared" si="2"/>
        <v>26</v>
      </c>
      <c r="R28" s="1">
        <f t="shared" si="3"/>
        <v>25</v>
      </c>
      <c r="S28" s="1" t="str">
        <f t="shared" si="4"/>
        <v>Cluster 2</v>
      </c>
      <c r="T28" s="1">
        <f t="shared" si="5"/>
        <v>8.2402694961406038</v>
      </c>
    </row>
    <row r="29" spans="2:20" ht="15.75">
      <c r="B29" s="15">
        <v>23</v>
      </c>
      <c r="C29" s="3">
        <v>39</v>
      </c>
      <c r="D29" s="3">
        <v>24</v>
      </c>
      <c r="G29" s="2">
        <v>14</v>
      </c>
      <c r="H29" s="2">
        <f t="shared" si="7"/>
        <v>0.86602798017383686</v>
      </c>
      <c r="I29" s="2" t="str">
        <f t="shared" si="8"/>
        <v/>
      </c>
      <c r="J29" s="2" t="str">
        <f t="shared" si="8"/>
        <v/>
      </c>
      <c r="M29" s="3">
        <v>23</v>
      </c>
      <c r="N29" s="1">
        <f t="shared" si="6"/>
        <v>31.132305052181628</v>
      </c>
      <c r="O29" s="1">
        <f t="shared" si="0"/>
        <v>5.445106488463801</v>
      </c>
      <c r="P29" s="1">
        <f t="shared" si="1"/>
        <v>18.5624064004503</v>
      </c>
      <c r="Q29" s="1">
        <f t="shared" si="2"/>
        <v>39</v>
      </c>
      <c r="R29" s="1">
        <f t="shared" si="3"/>
        <v>24</v>
      </c>
      <c r="S29" s="1" t="str">
        <f t="shared" si="4"/>
        <v>Cluster 2</v>
      </c>
      <c r="T29" s="1">
        <f t="shared" si="5"/>
        <v>5.445106488463801</v>
      </c>
    </row>
    <row r="30" spans="2:20" ht="15.75">
      <c r="B30" s="15">
        <v>24</v>
      </c>
      <c r="C30" s="3">
        <v>34</v>
      </c>
      <c r="D30" s="3">
        <v>23</v>
      </c>
      <c r="G30" s="23">
        <v>15</v>
      </c>
      <c r="H30" s="2">
        <f t="shared" si="7"/>
        <v>7.8603086893306058</v>
      </c>
      <c r="I30" s="2" t="str">
        <f t="shared" ref="I30:J65" si="9">IF($S21=I$15,$T21,"")</f>
        <v/>
      </c>
      <c r="J30" s="2" t="str">
        <f t="shared" si="9"/>
        <v/>
      </c>
      <c r="M30" s="13">
        <v>24</v>
      </c>
      <c r="N30" s="1">
        <f t="shared" si="6"/>
        <v>27.283947655235888</v>
      </c>
      <c r="O30" s="1">
        <f t="shared" si="0"/>
        <v>0.665850078009671</v>
      </c>
      <c r="P30" s="1">
        <f t="shared" si="1"/>
        <v>20.814615318358261</v>
      </c>
      <c r="Q30" s="1">
        <f t="shared" si="2"/>
        <v>34</v>
      </c>
      <c r="R30" s="1">
        <f t="shared" si="3"/>
        <v>23</v>
      </c>
      <c r="S30" s="1" t="str">
        <f t="shared" si="4"/>
        <v>Cluster 2</v>
      </c>
      <c r="T30" s="1">
        <f t="shared" si="5"/>
        <v>0.665850078009671</v>
      </c>
    </row>
    <row r="31" spans="2:20" ht="15.75">
      <c r="B31" s="15">
        <v>25</v>
      </c>
      <c r="C31" s="3">
        <v>37</v>
      </c>
      <c r="D31" s="3">
        <v>23</v>
      </c>
      <c r="G31" s="23">
        <v>16</v>
      </c>
      <c r="H31" s="2">
        <f t="shared" ref="H31:H65" si="10">IF(S22=$H$15,T22,"")</f>
        <v>13.860003392164586</v>
      </c>
      <c r="I31" s="2" t="str">
        <f t="shared" si="9"/>
        <v/>
      </c>
      <c r="J31" s="2" t="str">
        <f t="shared" si="9"/>
        <v/>
      </c>
      <c r="M31" s="3">
        <v>25</v>
      </c>
      <c r="N31" s="1">
        <f t="shared" si="6"/>
        <v>29.842443270001798</v>
      </c>
      <c r="O31" s="1">
        <f t="shared" si="0"/>
        <v>3.2560996505103894</v>
      </c>
      <c r="P31" s="1">
        <f t="shared" si="1"/>
        <v>19.917169108861096</v>
      </c>
      <c r="Q31" s="1">
        <f t="shared" si="2"/>
        <v>37</v>
      </c>
      <c r="R31" s="1">
        <f t="shared" si="3"/>
        <v>23</v>
      </c>
      <c r="S31" s="1" t="str">
        <f t="shared" si="4"/>
        <v>Cluster 2</v>
      </c>
      <c r="T31" s="1">
        <f t="shared" si="5"/>
        <v>3.2560996505103894</v>
      </c>
    </row>
    <row r="32" spans="2:20" ht="15.75">
      <c r="B32" s="15">
        <v>26</v>
      </c>
      <c r="C32" s="3">
        <v>22</v>
      </c>
      <c r="D32" s="3">
        <v>22</v>
      </c>
      <c r="G32" s="2">
        <v>17</v>
      </c>
      <c r="H32" s="2">
        <f t="shared" si="10"/>
        <v>5.2176794999431921</v>
      </c>
      <c r="I32" s="2" t="str">
        <f t="shared" si="9"/>
        <v/>
      </c>
      <c r="J32" s="2" t="str">
        <f t="shared" si="9"/>
        <v/>
      </c>
      <c r="M32" s="13">
        <v>26</v>
      </c>
      <c r="N32" s="1">
        <f t="shared" si="6"/>
        <v>19.25026579598546</v>
      </c>
      <c r="O32" s="1">
        <f t="shared" si="0"/>
        <v>11.812433896711019</v>
      </c>
      <c r="P32" s="1">
        <f t="shared" si="1"/>
        <v>28.270612360793891</v>
      </c>
      <c r="Q32" s="1">
        <f t="shared" si="2"/>
        <v>22</v>
      </c>
      <c r="R32" s="1">
        <f t="shared" si="3"/>
        <v>22</v>
      </c>
      <c r="S32" s="1" t="str">
        <f t="shared" si="4"/>
        <v>Cluster 2</v>
      </c>
      <c r="T32" s="1">
        <f t="shared" si="5"/>
        <v>11.812433896711019</v>
      </c>
    </row>
    <row r="33" spans="2:20" ht="15.75">
      <c r="B33" s="15">
        <v>27</v>
      </c>
      <c r="C33" s="3">
        <v>38</v>
      </c>
      <c r="D33" s="3">
        <v>21</v>
      </c>
      <c r="G33" s="2">
        <v>18</v>
      </c>
      <c r="H33" s="2">
        <f t="shared" si="10"/>
        <v>3.4405610116828176</v>
      </c>
      <c r="I33" s="2" t="str">
        <f t="shared" si="9"/>
        <v/>
      </c>
      <c r="J33" s="2" t="str">
        <f t="shared" si="9"/>
        <v/>
      </c>
      <c r="M33" s="3">
        <v>27</v>
      </c>
      <c r="N33" s="1">
        <f t="shared" si="6"/>
        <v>31.731206401506583</v>
      </c>
      <c r="O33" s="1">
        <f t="shared" si="0"/>
        <v>4.4090323738345498</v>
      </c>
      <c r="P33" s="1">
        <f t="shared" si="1"/>
        <v>21.680191510874224</v>
      </c>
      <c r="Q33" s="1">
        <f t="shared" si="2"/>
        <v>38</v>
      </c>
      <c r="R33" s="1">
        <f t="shared" si="3"/>
        <v>21</v>
      </c>
      <c r="S33" s="1" t="str">
        <f t="shared" si="4"/>
        <v>Cluster 2</v>
      </c>
      <c r="T33" s="1">
        <f t="shared" si="5"/>
        <v>4.4090323738345498</v>
      </c>
    </row>
    <row r="34" spans="2:20" ht="15.75">
      <c r="B34" s="15">
        <v>28</v>
      </c>
      <c r="C34" s="3">
        <v>35</v>
      </c>
      <c r="D34" s="3">
        <v>20</v>
      </c>
      <c r="G34" s="2">
        <v>19</v>
      </c>
      <c r="H34" s="2">
        <f t="shared" si="10"/>
        <v>4.4441026941942479</v>
      </c>
      <c r="I34" s="2" t="str">
        <f t="shared" si="9"/>
        <v/>
      </c>
      <c r="J34" s="2" t="str">
        <f t="shared" si="9"/>
        <v/>
      </c>
      <c r="M34" s="13">
        <v>28</v>
      </c>
      <c r="N34" s="1">
        <f t="shared" si="6"/>
        <v>29.824507628229501</v>
      </c>
      <c r="O34" s="1">
        <f t="shared" si="0"/>
        <v>2.646939843348973</v>
      </c>
      <c r="P34" s="1">
        <f t="shared" si="1"/>
        <v>23.331229280310751</v>
      </c>
      <c r="Q34" s="1">
        <f t="shared" si="2"/>
        <v>35</v>
      </c>
      <c r="R34" s="1">
        <f t="shared" si="3"/>
        <v>20</v>
      </c>
      <c r="S34" s="1" t="str">
        <f t="shared" si="4"/>
        <v>Cluster 2</v>
      </c>
      <c r="T34" s="1">
        <f t="shared" si="5"/>
        <v>2.646939843348973</v>
      </c>
    </row>
    <row r="35" spans="2:20" ht="15.75">
      <c r="B35" s="15">
        <v>29</v>
      </c>
      <c r="C35" s="3">
        <v>31</v>
      </c>
      <c r="D35" s="3">
        <v>18</v>
      </c>
      <c r="G35" s="2">
        <v>20</v>
      </c>
      <c r="H35" s="2">
        <f t="shared" si="10"/>
        <v>3.988441979792158</v>
      </c>
      <c r="I35" s="2" t="str">
        <f t="shared" si="9"/>
        <v/>
      </c>
      <c r="J35" s="2" t="str">
        <f t="shared" si="9"/>
        <v/>
      </c>
      <c r="M35" s="3">
        <v>29</v>
      </c>
      <c r="N35" s="1">
        <f t="shared" si="6"/>
        <v>28.110554249048231</v>
      </c>
      <c r="O35" s="1">
        <f t="shared" si="0"/>
        <v>5.1877057608344428</v>
      </c>
      <c r="P35" s="1">
        <f t="shared" si="1"/>
        <v>26.582092611406921</v>
      </c>
      <c r="Q35" s="1">
        <f t="shared" si="2"/>
        <v>31</v>
      </c>
      <c r="R35" s="1">
        <f t="shared" si="3"/>
        <v>18</v>
      </c>
      <c r="S35" s="1" t="str">
        <f t="shared" si="4"/>
        <v>Cluster 2</v>
      </c>
      <c r="T35" s="1">
        <f t="shared" si="5"/>
        <v>5.1877057608344428</v>
      </c>
    </row>
    <row r="36" spans="2:20" ht="15.75">
      <c r="B36" s="15">
        <v>30</v>
      </c>
      <c r="C36" s="3">
        <v>26</v>
      </c>
      <c r="D36" s="3">
        <v>16</v>
      </c>
      <c r="G36" s="2">
        <v>21</v>
      </c>
      <c r="H36" s="2" t="str">
        <f t="shared" si="10"/>
        <v/>
      </c>
      <c r="I36" s="2">
        <f t="shared" si="9"/>
        <v>4.976805526384469</v>
      </c>
      <c r="J36" s="2" t="str">
        <f t="shared" si="9"/>
        <v/>
      </c>
      <c r="M36" s="13">
        <v>30</v>
      </c>
      <c r="N36" s="1">
        <f t="shared" si="6"/>
        <v>26.461029046905427</v>
      </c>
      <c r="O36" s="1">
        <f t="shared" si="0"/>
        <v>10.071346254852195</v>
      </c>
      <c r="P36" s="1">
        <f t="shared" si="1"/>
        <v>30.643986315738264</v>
      </c>
      <c r="Q36" s="1">
        <f t="shared" si="2"/>
        <v>26</v>
      </c>
      <c r="R36" s="1">
        <f t="shared" si="3"/>
        <v>16</v>
      </c>
      <c r="S36" s="1" t="str">
        <f t="shared" si="4"/>
        <v>Cluster 2</v>
      </c>
      <c r="T36" s="1">
        <f t="shared" si="5"/>
        <v>10.071346254852195</v>
      </c>
    </row>
    <row r="37" spans="2:20" ht="15.75">
      <c r="B37" s="15">
        <v>31</v>
      </c>
      <c r="C37" s="3">
        <v>38</v>
      </c>
      <c r="D37" s="3">
        <v>13</v>
      </c>
      <c r="G37" s="2">
        <v>22</v>
      </c>
      <c r="H37" s="2" t="str">
        <f t="shared" si="10"/>
        <v/>
      </c>
      <c r="I37" s="2">
        <f t="shared" si="9"/>
        <v>8.2402694961406038</v>
      </c>
      <c r="J37" s="2" t="str">
        <f t="shared" si="9"/>
        <v/>
      </c>
      <c r="M37" s="3">
        <v>31</v>
      </c>
      <c r="N37" s="1">
        <f t="shared" si="6"/>
        <v>36.622189852908321</v>
      </c>
      <c r="O37" s="1">
        <f t="shared" si="0"/>
        <v>10.258849244489635</v>
      </c>
      <c r="P37" s="1">
        <f t="shared" si="1"/>
        <v>29.599298401888667</v>
      </c>
      <c r="Q37" s="1">
        <f t="shared" si="2"/>
        <v>38</v>
      </c>
      <c r="R37" s="1">
        <f t="shared" si="3"/>
        <v>13</v>
      </c>
      <c r="S37" s="1" t="str">
        <f t="shared" si="4"/>
        <v>Cluster 2</v>
      </c>
      <c r="T37" s="1">
        <f t="shared" si="5"/>
        <v>10.258849244489635</v>
      </c>
    </row>
    <row r="38" spans="2:20" ht="15.75">
      <c r="B38" s="15">
        <v>32</v>
      </c>
      <c r="C38" s="3">
        <v>29</v>
      </c>
      <c r="D38" s="3">
        <v>11</v>
      </c>
      <c r="G38" s="2">
        <v>23</v>
      </c>
      <c r="H38" s="2" t="str">
        <f t="shared" si="10"/>
        <v/>
      </c>
      <c r="I38" s="2">
        <f t="shared" si="9"/>
        <v>5.445106488463801</v>
      </c>
      <c r="J38" s="2" t="str">
        <f t="shared" si="9"/>
        <v/>
      </c>
      <c r="L38" s="22"/>
      <c r="M38" s="13">
        <v>32</v>
      </c>
      <c r="N38" s="1">
        <f t="shared" si="6"/>
        <v>32.284528184495002</v>
      </c>
      <c r="O38" s="1">
        <f t="shared" si="0"/>
        <v>12.337690518693988</v>
      </c>
      <c r="P38" s="1">
        <f t="shared" si="1"/>
        <v>33.812781059664502</v>
      </c>
      <c r="Q38" s="1">
        <f t="shared" si="2"/>
        <v>29</v>
      </c>
      <c r="R38" s="1">
        <f t="shared" si="3"/>
        <v>11</v>
      </c>
      <c r="S38" s="1" t="str">
        <f t="shared" si="4"/>
        <v>Cluster 2</v>
      </c>
      <c r="T38" s="1">
        <f t="shared" si="5"/>
        <v>12.337690518693988</v>
      </c>
    </row>
    <row r="39" spans="2:20" ht="15.75">
      <c r="B39" s="15">
        <v>33</v>
      </c>
      <c r="C39" s="3">
        <v>34</v>
      </c>
      <c r="D39" s="3">
        <v>11</v>
      </c>
      <c r="G39" s="2">
        <v>24</v>
      </c>
      <c r="H39" s="2" t="str">
        <f t="shared" si="10"/>
        <v/>
      </c>
      <c r="I39" s="2">
        <f t="shared" si="9"/>
        <v>0.665850078009671</v>
      </c>
      <c r="J39" s="2" t="str">
        <f t="shared" si="9"/>
        <v/>
      </c>
      <c r="L39" s="22"/>
      <c r="M39" s="3">
        <v>33</v>
      </c>
      <c r="N39" s="1">
        <f t="shared" si="6"/>
        <v>35.297121618409982</v>
      </c>
      <c r="O39" s="1">
        <f t="shared" si="0"/>
        <v>11.36441764226624</v>
      </c>
      <c r="P39" s="1">
        <f t="shared" si="1"/>
        <v>32.285907974765614</v>
      </c>
      <c r="Q39" s="1">
        <f t="shared" si="2"/>
        <v>34</v>
      </c>
      <c r="R39" s="1">
        <f t="shared" si="3"/>
        <v>11</v>
      </c>
      <c r="S39" s="1" t="str">
        <f t="shared" si="4"/>
        <v>Cluster 2</v>
      </c>
      <c r="T39" s="1">
        <f t="shared" si="5"/>
        <v>11.36441764226624</v>
      </c>
    </row>
    <row r="40" spans="2:20" ht="15.75">
      <c r="B40" s="15">
        <v>34</v>
      </c>
      <c r="C40" s="3">
        <v>37</v>
      </c>
      <c r="D40" s="3">
        <v>10</v>
      </c>
      <c r="G40" s="2">
        <v>25</v>
      </c>
      <c r="H40" s="2" t="str">
        <f t="shared" si="10"/>
        <v/>
      </c>
      <c r="I40" s="2">
        <f t="shared" si="9"/>
        <v>3.2560996505103894</v>
      </c>
      <c r="J40" s="2" t="str">
        <f t="shared" si="9"/>
        <v/>
      </c>
      <c r="M40" s="13">
        <v>34</v>
      </c>
      <c r="N40" s="1">
        <f t="shared" si="6"/>
        <v>38.037268979980411</v>
      </c>
      <c r="O40" s="1">
        <f t="shared" si="0"/>
        <v>12.768491282214047</v>
      </c>
      <c r="P40" s="1">
        <f t="shared" si="1"/>
        <v>32.704529326329613</v>
      </c>
      <c r="Q40" s="1">
        <f t="shared" si="2"/>
        <v>37</v>
      </c>
      <c r="R40" s="1">
        <f t="shared" si="3"/>
        <v>10</v>
      </c>
      <c r="S40" s="1" t="str">
        <f t="shared" si="4"/>
        <v>Cluster 2</v>
      </c>
      <c r="T40" s="1">
        <f t="shared" si="5"/>
        <v>12.768491282214047</v>
      </c>
    </row>
    <row r="41" spans="2:20" ht="15.75">
      <c r="B41" s="15">
        <v>35</v>
      </c>
      <c r="C41" s="3">
        <v>40</v>
      </c>
      <c r="D41" s="3">
        <v>9</v>
      </c>
      <c r="G41" s="2">
        <v>26</v>
      </c>
      <c r="H41" s="2" t="str">
        <f t="shared" si="10"/>
        <v/>
      </c>
      <c r="I41" s="2">
        <f t="shared" si="9"/>
        <v>11.812433896711019</v>
      </c>
      <c r="J41" s="2" t="str">
        <f t="shared" si="9"/>
        <v/>
      </c>
      <c r="M41" s="3">
        <v>35</v>
      </c>
      <c r="N41" s="1">
        <f t="shared" si="6"/>
        <v>40.83847289463619</v>
      </c>
      <c r="O41" s="1">
        <f t="shared" si="0"/>
        <v>14.728161830320174</v>
      </c>
      <c r="P41" s="1">
        <f t="shared" si="1"/>
        <v>33.418447348111087</v>
      </c>
      <c r="Q41" s="1">
        <f t="shared" si="2"/>
        <v>40</v>
      </c>
      <c r="R41" s="1">
        <f t="shared" si="3"/>
        <v>9</v>
      </c>
      <c r="S41" s="1" t="str">
        <f t="shared" si="4"/>
        <v>Cluster 2</v>
      </c>
      <c r="T41" s="1">
        <f t="shared" si="5"/>
        <v>14.728161830320174</v>
      </c>
    </row>
    <row r="42" spans="2:20" ht="15.75">
      <c r="B42" s="15">
        <v>36</v>
      </c>
      <c r="C42" s="3">
        <v>42</v>
      </c>
      <c r="D42" s="3">
        <v>9</v>
      </c>
      <c r="G42" s="2">
        <v>27</v>
      </c>
      <c r="H42" s="2" t="str">
        <f t="shared" si="10"/>
        <v/>
      </c>
      <c r="I42" s="2">
        <f t="shared" si="9"/>
        <v>4.4090323738345498</v>
      </c>
      <c r="J42" s="2" t="str">
        <f t="shared" si="9"/>
        <v/>
      </c>
      <c r="M42" s="13">
        <v>36</v>
      </c>
      <c r="N42" s="1">
        <f t="shared" si="6"/>
        <v>42.275516343927535</v>
      </c>
      <c r="O42" s="1">
        <f t="shared" si="0"/>
        <v>15.67454316097322</v>
      </c>
      <c r="P42" s="1">
        <f t="shared" si="1"/>
        <v>33.382973196900302</v>
      </c>
      <c r="Q42" s="1">
        <f t="shared" si="2"/>
        <v>42</v>
      </c>
      <c r="R42" s="1">
        <f t="shared" si="3"/>
        <v>9</v>
      </c>
      <c r="S42" s="1" t="str">
        <f t="shared" si="4"/>
        <v>Cluster 2</v>
      </c>
      <c r="T42" s="1">
        <f t="shared" si="5"/>
        <v>15.67454316097322</v>
      </c>
    </row>
    <row r="43" spans="2:20" ht="15.75">
      <c r="B43" s="15">
        <v>37</v>
      </c>
      <c r="C43" s="3"/>
      <c r="D43" s="3"/>
      <c r="G43" s="2">
        <v>28</v>
      </c>
      <c r="H43" s="2" t="str">
        <f t="shared" si="10"/>
        <v/>
      </c>
      <c r="I43" s="2">
        <f t="shared" si="9"/>
        <v>2.646939843348973</v>
      </c>
      <c r="J43" s="2" t="str">
        <f t="shared" si="9"/>
        <v/>
      </c>
      <c r="M43" s="3">
        <v>37</v>
      </c>
      <c r="N43" s="1"/>
      <c r="O43" s="1"/>
      <c r="P43" s="1"/>
      <c r="Q43" s="1">
        <f t="shared" si="2"/>
        <v>0</v>
      </c>
      <c r="R43" s="1">
        <f t="shared" si="3"/>
        <v>0</v>
      </c>
      <c r="S43" s="1" t="str">
        <f t="shared" si="4"/>
        <v>Cluster 1</v>
      </c>
      <c r="T43" s="1">
        <f t="shared" si="5"/>
        <v>0</v>
      </c>
    </row>
    <row r="44" spans="2:20" ht="15.75">
      <c r="B44" s="15">
        <v>38</v>
      </c>
      <c r="C44" s="3"/>
      <c r="D44" s="3"/>
      <c r="G44" s="2">
        <v>29</v>
      </c>
      <c r="H44" s="2" t="str">
        <f t="shared" si="10"/>
        <v/>
      </c>
      <c r="I44" s="2">
        <f t="shared" si="9"/>
        <v>5.1877057608344428</v>
      </c>
      <c r="J44" s="2" t="str">
        <f t="shared" si="9"/>
        <v/>
      </c>
      <c r="M44" s="13">
        <v>38</v>
      </c>
      <c r="N44" s="1"/>
      <c r="O44" s="1"/>
      <c r="P44" s="1"/>
      <c r="Q44" s="1">
        <f t="shared" si="2"/>
        <v>0</v>
      </c>
      <c r="R44" s="1">
        <f t="shared" si="3"/>
        <v>0</v>
      </c>
      <c r="S44" s="1" t="str">
        <f t="shared" si="4"/>
        <v>Cluster 1</v>
      </c>
      <c r="T44" s="1">
        <f t="shared" si="5"/>
        <v>0</v>
      </c>
    </row>
    <row r="45" spans="2:20" ht="15.75">
      <c r="B45" s="15">
        <v>39</v>
      </c>
      <c r="C45" s="3"/>
      <c r="D45" s="3"/>
      <c r="G45" s="2">
        <v>30</v>
      </c>
      <c r="H45" s="2" t="str">
        <f t="shared" si="10"/>
        <v/>
      </c>
      <c r="I45" s="2">
        <f t="shared" si="9"/>
        <v>10.071346254852195</v>
      </c>
      <c r="J45" s="2" t="str">
        <f t="shared" si="9"/>
        <v/>
      </c>
      <c r="M45" s="3">
        <v>39</v>
      </c>
      <c r="N45" s="1"/>
      <c r="O45" s="1"/>
      <c r="P45" s="1"/>
      <c r="Q45" s="1">
        <f t="shared" si="2"/>
        <v>0</v>
      </c>
      <c r="R45" s="1">
        <f t="shared" si="3"/>
        <v>0</v>
      </c>
      <c r="S45" s="1" t="str">
        <f t="shared" si="4"/>
        <v>Cluster 1</v>
      </c>
      <c r="T45" s="1">
        <f t="shared" si="5"/>
        <v>0</v>
      </c>
    </row>
    <row r="46" spans="2:20" ht="15.75">
      <c r="B46" s="15">
        <v>40</v>
      </c>
      <c r="C46" s="3"/>
      <c r="D46" s="3"/>
      <c r="G46" s="2">
        <v>31</v>
      </c>
      <c r="H46" s="2" t="str">
        <f t="shared" si="10"/>
        <v/>
      </c>
      <c r="I46" s="2">
        <f t="shared" si="9"/>
        <v>10.258849244489635</v>
      </c>
      <c r="J46" s="2" t="str">
        <f t="shared" si="9"/>
        <v/>
      </c>
      <c r="M46" s="13">
        <v>40</v>
      </c>
      <c r="N46" s="1"/>
      <c r="O46" s="1"/>
      <c r="P46" s="1"/>
      <c r="Q46" s="1">
        <f t="shared" si="2"/>
        <v>0</v>
      </c>
      <c r="R46" s="1">
        <f t="shared" si="3"/>
        <v>0</v>
      </c>
      <c r="S46" s="1" t="str">
        <f t="shared" si="4"/>
        <v>Cluster 1</v>
      </c>
      <c r="T46" s="1">
        <f t="shared" si="5"/>
        <v>0</v>
      </c>
    </row>
    <row r="47" spans="2:20" ht="15.75">
      <c r="B47" s="15">
        <v>41</v>
      </c>
      <c r="C47" s="3"/>
      <c r="D47" s="3"/>
      <c r="G47" s="2">
        <v>32</v>
      </c>
      <c r="H47" s="2" t="str">
        <f t="shared" si="10"/>
        <v/>
      </c>
      <c r="I47" s="2">
        <f t="shared" si="9"/>
        <v>12.337690518693988</v>
      </c>
      <c r="J47" s="2" t="str">
        <f t="shared" si="9"/>
        <v/>
      </c>
      <c r="M47" s="3">
        <v>41</v>
      </c>
      <c r="N47" s="1"/>
      <c r="O47" s="1"/>
      <c r="P47" s="1"/>
      <c r="Q47" s="1">
        <f t="shared" si="2"/>
        <v>0</v>
      </c>
      <c r="R47" s="1">
        <f t="shared" si="3"/>
        <v>0</v>
      </c>
      <c r="S47" s="1" t="str">
        <f t="shared" si="4"/>
        <v>Cluster 1</v>
      </c>
      <c r="T47" s="1">
        <f t="shared" si="5"/>
        <v>0</v>
      </c>
    </row>
    <row r="48" spans="2:20" ht="15.75">
      <c r="B48" s="15">
        <v>42</v>
      </c>
      <c r="C48" s="3"/>
      <c r="D48" s="3"/>
      <c r="G48" s="2">
        <v>33</v>
      </c>
      <c r="H48" s="2" t="str">
        <f t="shared" si="10"/>
        <v/>
      </c>
      <c r="I48" s="2">
        <f t="shared" si="9"/>
        <v>11.36441764226624</v>
      </c>
      <c r="J48" s="2" t="str">
        <f t="shared" si="9"/>
        <v/>
      </c>
      <c r="M48" s="13">
        <v>42</v>
      </c>
      <c r="N48" s="1"/>
      <c r="O48" s="1"/>
      <c r="P48" s="1"/>
      <c r="Q48" s="1">
        <f t="shared" si="2"/>
        <v>0</v>
      </c>
      <c r="R48" s="1">
        <f t="shared" si="3"/>
        <v>0</v>
      </c>
      <c r="S48" s="1" t="str">
        <f t="shared" si="4"/>
        <v>Cluster 1</v>
      </c>
      <c r="T48" s="1">
        <f t="shared" si="5"/>
        <v>0</v>
      </c>
    </row>
    <row r="49" spans="2:20" ht="15.75">
      <c r="B49" s="15">
        <v>43</v>
      </c>
      <c r="C49" s="3"/>
      <c r="D49" s="3"/>
      <c r="G49" s="2">
        <v>34</v>
      </c>
      <c r="H49" s="2" t="str">
        <f t="shared" si="10"/>
        <v/>
      </c>
      <c r="I49" s="2">
        <f t="shared" si="9"/>
        <v>12.768491282214047</v>
      </c>
      <c r="J49" s="2" t="str">
        <f t="shared" si="9"/>
        <v/>
      </c>
      <c r="M49" s="3">
        <v>43</v>
      </c>
      <c r="N49" s="1"/>
      <c r="O49" s="1"/>
      <c r="P49" s="1"/>
      <c r="Q49" s="1">
        <f t="shared" si="2"/>
        <v>0</v>
      </c>
      <c r="R49" s="1">
        <f t="shared" si="3"/>
        <v>0</v>
      </c>
      <c r="S49" s="1" t="str">
        <f t="shared" si="4"/>
        <v>Cluster 1</v>
      </c>
      <c r="T49" s="1">
        <f t="shared" si="5"/>
        <v>0</v>
      </c>
    </row>
    <row r="50" spans="2:20" ht="15.75">
      <c r="B50" s="15">
        <v>44</v>
      </c>
      <c r="C50" s="3"/>
      <c r="D50" s="3"/>
      <c r="G50" s="2">
        <v>35</v>
      </c>
      <c r="H50" s="2" t="str">
        <f t="shared" si="10"/>
        <v/>
      </c>
      <c r="I50" s="2">
        <f t="shared" si="9"/>
        <v>14.728161830320174</v>
      </c>
      <c r="J50" s="2" t="str">
        <f t="shared" si="9"/>
        <v/>
      </c>
      <c r="M50" s="13">
        <v>44</v>
      </c>
      <c r="N50" s="1"/>
      <c r="O50" s="1"/>
      <c r="P50" s="1"/>
      <c r="Q50" s="1">
        <f t="shared" si="2"/>
        <v>0</v>
      </c>
      <c r="R50" s="1">
        <f t="shared" si="3"/>
        <v>0</v>
      </c>
      <c r="S50" s="1" t="str">
        <f t="shared" si="4"/>
        <v>Cluster 1</v>
      </c>
      <c r="T50" s="1">
        <f t="shared" si="5"/>
        <v>0</v>
      </c>
    </row>
    <row r="51" spans="2:20" ht="15.75">
      <c r="B51" s="15">
        <v>45</v>
      </c>
      <c r="C51" s="3"/>
      <c r="D51" s="3"/>
      <c r="G51" s="2">
        <v>36</v>
      </c>
      <c r="H51" s="2" t="str">
        <f t="shared" si="10"/>
        <v/>
      </c>
      <c r="I51" s="2">
        <f t="shared" si="9"/>
        <v>15.67454316097322</v>
      </c>
      <c r="J51" s="2" t="str">
        <f t="shared" si="9"/>
        <v/>
      </c>
      <c r="M51" s="3">
        <v>45</v>
      </c>
      <c r="N51" s="1"/>
      <c r="O51" s="1"/>
      <c r="P51" s="1"/>
      <c r="Q51" s="1">
        <f t="shared" si="2"/>
        <v>0</v>
      </c>
      <c r="R51" s="1">
        <f t="shared" si="3"/>
        <v>0</v>
      </c>
      <c r="S51" s="1" t="str">
        <f t="shared" si="4"/>
        <v>Cluster 1</v>
      </c>
      <c r="T51" s="1">
        <f t="shared" si="5"/>
        <v>0</v>
      </c>
    </row>
    <row r="52" spans="2:20" ht="15.75">
      <c r="B52" s="15">
        <v>46</v>
      </c>
      <c r="C52" s="3"/>
      <c r="D52" s="3"/>
      <c r="G52" s="2">
        <v>37</v>
      </c>
      <c r="H52" s="2">
        <f t="shared" si="10"/>
        <v>0</v>
      </c>
      <c r="I52" s="2" t="str">
        <f t="shared" si="9"/>
        <v/>
      </c>
      <c r="J52" s="2" t="str">
        <f t="shared" si="9"/>
        <v/>
      </c>
      <c r="M52" s="13">
        <v>46</v>
      </c>
      <c r="N52" s="1"/>
      <c r="O52" s="1"/>
      <c r="P52" s="1"/>
      <c r="Q52" s="1">
        <f t="shared" si="2"/>
        <v>0</v>
      </c>
      <c r="R52" s="1">
        <f t="shared" si="3"/>
        <v>0</v>
      </c>
      <c r="S52" s="1" t="str">
        <f t="shared" si="4"/>
        <v>Cluster 1</v>
      </c>
      <c r="T52" s="1">
        <f t="shared" si="5"/>
        <v>0</v>
      </c>
    </row>
    <row r="53" spans="2:20" ht="15.75">
      <c r="B53" s="15">
        <v>47</v>
      </c>
      <c r="C53" s="3"/>
      <c r="D53" s="3"/>
      <c r="G53" s="2">
        <v>38</v>
      </c>
      <c r="H53" s="2">
        <f t="shared" si="10"/>
        <v>0</v>
      </c>
      <c r="I53" s="2" t="str">
        <f t="shared" si="9"/>
        <v/>
      </c>
      <c r="J53" s="2" t="str">
        <f t="shared" si="9"/>
        <v/>
      </c>
      <c r="M53" s="3">
        <v>47</v>
      </c>
      <c r="N53" s="1"/>
      <c r="O53" s="1"/>
      <c r="P53" s="1"/>
      <c r="Q53" s="1">
        <f t="shared" si="2"/>
        <v>0</v>
      </c>
      <c r="R53" s="1">
        <f t="shared" si="3"/>
        <v>0</v>
      </c>
      <c r="S53" s="1" t="str">
        <f t="shared" si="4"/>
        <v>Cluster 1</v>
      </c>
      <c r="T53" s="1">
        <f t="shared" si="5"/>
        <v>0</v>
      </c>
    </row>
    <row r="54" spans="2:20" ht="15.75">
      <c r="B54" s="15">
        <v>48</v>
      </c>
      <c r="C54" s="3"/>
      <c r="D54" s="3"/>
      <c r="G54" s="2">
        <v>39</v>
      </c>
      <c r="H54" s="2">
        <f t="shared" si="10"/>
        <v>0</v>
      </c>
      <c r="I54" s="2" t="str">
        <f t="shared" si="9"/>
        <v/>
      </c>
      <c r="J54" s="2" t="str">
        <f t="shared" si="9"/>
        <v/>
      </c>
      <c r="M54" s="13">
        <v>48</v>
      </c>
      <c r="N54" s="1"/>
      <c r="O54" s="1"/>
      <c r="P54" s="1"/>
      <c r="Q54" s="1">
        <f t="shared" si="2"/>
        <v>0</v>
      </c>
      <c r="R54" s="1">
        <f t="shared" si="3"/>
        <v>0</v>
      </c>
      <c r="S54" s="1" t="str">
        <f t="shared" si="4"/>
        <v>Cluster 1</v>
      </c>
      <c r="T54" s="1">
        <f t="shared" si="5"/>
        <v>0</v>
      </c>
    </row>
    <row r="55" spans="2:20" ht="15.75">
      <c r="B55" s="15">
        <v>49</v>
      </c>
      <c r="C55" s="3"/>
      <c r="D55" s="3"/>
      <c r="G55" s="2">
        <v>40</v>
      </c>
      <c r="H55" s="2">
        <f t="shared" si="10"/>
        <v>0</v>
      </c>
      <c r="I55" s="2" t="str">
        <f t="shared" si="9"/>
        <v/>
      </c>
      <c r="J55" s="2" t="str">
        <f t="shared" si="9"/>
        <v/>
      </c>
      <c r="M55" s="3">
        <v>49</v>
      </c>
      <c r="N55" s="1"/>
      <c r="O55" s="1"/>
      <c r="P55" s="1"/>
      <c r="Q55" s="1">
        <f t="shared" si="2"/>
        <v>0</v>
      </c>
      <c r="R55" s="1">
        <f t="shared" si="3"/>
        <v>0</v>
      </c>
      <c r="S55" s="1" t="str">
        <f t="shared" si="4"/>
        <v>Cluster 1</v>
      </c>
      <c r="T55" s="1">
        <f t="shared" si="5"/>
        <v>0</v>
      </c>
    </row>
    <row r="56" spans="2:20" ht="15.75">
      <c r="B56" s="15">
        <v>50</v>
      </c>
      <c r="C56" s="3"/>
      <c r="D56" s="3"/>
      <c r="G56" s="2">
        <v>41</v>
      </c>
      <c r="H56" s="2">
        <f t="shared" si="10"/>
        <v>0</v>
      </c>
      <c r="I56" s="2" t="str">
        <f t="shared" si="9"/>
        <v/>
      </c>
      <c r="J56" s="2" t="str">
        <f t="shared" si="9"/>
        <v/>
      </c>
      <c r="M56" s="13">
        <v>50</v>
      </c>
      <c r="N56" s="1"/>
      <c r="O56" s="1"/>
      <c r="P56" s="1"/>
      <c r="Q56" s="1">
        <f t="shared" si="2"/>
        <v>0</v>
      </c>
      <c r="R56" s="1">
        <f t="shared" si="3"/>
        <v>0</v>
      </c>
      <c r="S56" s="1" t="str">
        <f t="shared" si="4"/>
        <v>Cluster 1</v>
      </c>
      <c r="T56" s="1">
        <f t="shared" si="5"/>
        <v>0</v>
      </c>
    </row>
    <row r="57" spans="2:20" ht="15.75">
      <c r="G57" s="2">
        <v>42</v>
      </c>
      <c r="H57" s="2">
        <f t="shared" si="10"/>
        <v>0</v>
      </c>
      <c r="I57" s="2" t="str">
        <f t="shared" si="9"/>
        <v/>
      </c>
      <c r="J57" s="2" t="str">
        <f t="shared" si="9"/>
        <v/>
      </c>
      <c r="S57" s="16" t="s">
        <v>13</v>
      </c>
      <c r="T57" s="17">
        <f>SUM(T7:T36)</f>
        <v>135.94963441266518</v>
      </c>
    </row>
    <row r="58" spans="2:20">
      <c r="G58" s="2">
        <v>43</v>
      </c>
      <c r="H58" s="2">
        <f t="shared" si="10"/>
        <v>0</v>
      </c>
      <c r="I58" s="2" t="str">
        <f t="shared" si="9"/>
        <v/>
      </c>
      <c r="J58" s="2" t="str">
        <f t="shared" si="9"/>
        <v/>
      </c>
    </row>
    <row r="59" spans="2:20">
      <c r="G59" s="2">
        <v>44</v>
      </c>
      <c r="H59" s="2">
        <f t="shared" si="10"/>
        <v>0</v>
      </c>
      <c r="I59" s="2" t="str">
        <f t="shared" si="9"/>
        <v/>
      </c>
      <c r="J59" s="2" t="str">
        <f t="shared" si="9"/>
        <v/>
      </c>
    </row>
    <row r="60" spans="2:20">
      <c r="G60" s="2">
        <v>45</v>
      </c>
      <c r="H60" s="2">
        <f t="shared" si="10"/>
        <v>0</v>
      </c>
      <c r="I60" s="2" t="str">
        <f t="shared" si="9"/>
        <v/>
      </c>
      <c r="J60" s="2" t="str">
        <f t="shared" si="9"/>
        <v/>
      </c>
    </row>
    <row r="61" spans="2:20">
      <c r="G61" s="2">
        <v>46</v>
      </c>
      <c r="H61" s="2">
        <f t="shared" si="10"/>
        <v>0</v>
      </c>
      <c r="I61" s="2" t="str">
        <f t="shared" si="9"/>
        <v/>
      </c>
      <c r="J61" s="2" t="str">
        <f t="shared" si="9"/>
        <v/>
      </c>
    </row>
    <row r="62" spans="2:20">
      <c r="G62" s="2">
        <v>47</v>
      </c>
      <c r="H62" s="2">
        <f t="shared" si="10"/>
        <v>0</v>
      </c>
      <c r="I62" s="2" t="str">
        <f t="shared" si="9"/>
        <v/>
      </c>
      <c r="J62" s="2" t="str">
        <f t="shared" si="9"/>
        <v/>
      </c>
    </row>
    <row r="63" spans="2:20">
      <c r="G63" s="2">
        <v>48</v>
      </c>
      <c r="H63" s="2">
        <f t="shared" si="10"/>
        <v>0</v>
      </c>
      <c r="I63" s="2" t="str">
        <f t="shared" si="9"/>
        <v/>
      </c>
      <c r="J63" s="2" t="str">
        <f t="shared" si="9"/>
        <v/>
      </c>
    </row>
    <row r="64" spans="2:20">
      <c r="G64" s="2">
        <v>49</v>
      </c>
      <c r="H64" s="2">
        <f t="shared" si="10"/>
        <v>0</v>
      </c>
      <c r="I64" s="2" t="str">
        <f t="shared" si="9"/>
        <v/>
      </c>
      <c r="J64" s="2" t="str">
        <f t="shared" si="9"/>
        <v/>
      </c>
    </row>
    <row r="65" spans="7:21">
      <c r="G65" s="2">
        <v>50</v>
      </c>
      <c r="H65" s="2">
        <f t="shared" si="10"/>
        <v>0</v>
      </c>
      <c r="I65" s="2" t="str">
        <f t="shared" si="9"/>
        <v/>
      </c>
      <c r="J65" s="2" t="str">
        <f t="shared" si="9"/>
        <v/>
      </c>
    </row>
    <row r="75" spans="7:21" ht="15.75">
      <c r="O75" s="11" t="s">
        <v>7</v>
      </c>
      <c r="U75" s="12" t="s">
        <v>24</v>
      </c>
    </row>
    <row r="92" spans="15:15" ht="15.75">
      <c r="O92" s="12" t="s">
        <v>24</v>
      </c>
    </row>
  </sheetData>
  <mergeCells count="5">
    <mergeCell ref="G10:H10"/>
    <mergeCell ref="G11:H11"/>
    <mergeCell ref="B5:D5"/>
    <mergeCell ref="H1:I1"/>
    <mergeCell ref="H2:I2"/>
  </mergeCells>
  <conditionalFormatting sqref="S7:S56">
    <cfRule type="containsText" dxfId="1" priority="1" operator="containsText" text="Cluster 2">
      <formula>NOT(ISERROR(SEARCH("Cluster 2",S7)))</formula>
    </cfRule>
    <cfRule type="containsText" dxfId="0" priority="2" operator="containsText" text="Cluster 1">
      <formula>NOT(ISERROR(SEARCH("Cluster 1",S7)))</formula>
    </cfRule>
  </conditionalFormatting>
  <pageMargins left="0.7" right="0.7" top="0.75" bottom="0.75" header="0.3" footer="0.3"/>
  <drawing r:id="rId1"/>
  <legacyDrawing r:id="rId2"/>
  <controls>
    <control shapeId="5121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O52"/>
  <sheetViews>
    <sheetView topLeftCell="C1" workbookViewId="0">
      <selection activeCell="L6" sqref="L6"/>
    </sheetView>
  </sheetViews>
  <sheetFormatPr defaultRowHeight="15"/>
  <cols>
    <col min="1" max="1" width="17.28515625" customWidth="1"/>
    <col min="2" max="2" width="18.140625" customWidth="1"/>
    <col min="3" max="3" width="18.28515625" customWidth="1"/>
    <col min="5" max="5" width="14.5703125" customWidth="1"/>
    <col min="7" max="7" width="19.7109375" customWidth="1"/>
    <col min="8" max="8" width="21.85546875" customWidth="1"/>
    <col min="9" max="9" width="20.42578125" customWidth="1"/>
    <col min="10" max="10" width="4.28515625" customWidth="1"/>
    <col min="11" max="11" width="15.42578125" customWidth="1"/>
    <col min="12" max="14" width="21.140625" bestFit="1" customWidth="1"/>
  </cols>
  <sheetData>
    <row r="1" spans="1:15" ht="18.75">
      <c r="A1" s="56" t="s">
        <v>25</v>
      </c>
      <c r="B1" s="56"/>
      <c r="C1" s="56"/>
      <c r="D1" s="56"/>
      <c r="G1" s="56" t="s">
        <v>33</v>
      </c>
      <c r="H1" s="56"/>
      <c r="I1" s="56"/>
      <c r="J1" s="27"/>
      <c r="L1" s="57" t="s">
        <v>26</v>
      </c>
      <c r="M1" s="57"/>
      <c r="N1" s="57"/>
      <c r="O1" s="57"/>
    </row>
    <row r="2" spans="1:15" ht="15.75">
      <c r="A2" s="24" t="s">
        <v>14</v>
      </c>
      <c r="B2" s="25" t="s">
        <v>15</v>
      </c>
      <c r="C2" s="26" t="s">
        <v>16</v>
      </c>
      <c r="G2" s="29" t="s">
        <v>27</v>
      </c>
      <c r="H2" s="30" t="s">
        <v>28</v>
      </c>
      <c r="I2" s="28" t="s">
        <v>29</v>
      </c>
      <c r="J2" s="28"/>
      <c r="L2" s="29" t="s">
        <v>27</v>
      </c>
      <c r="M2" s="30" t="s">
        <v>28</v>
      </c>
      <c r="N2" s="28" t="s">
        <v>29</v>
      </c>
    </row>
    <row r="3" spans="1:15" ht="15.75">
      <c r="A3">
        <v>4.2607423905899724</v>
      </c>
      <c r="B3">
        <v>4.976805526384469</v>
      </c>
      <c r="C3">
        <v>2.6856717223666378</v>
      </c>
      <c r="G3" s="31">
        <f>MEDIAN(A3:A14)</f>
        <v>4.2730653972367758</v>
      </c>
      <c r="H3" s="31">
        <f>MEDIAN(B3:B6)</f>
        <v>5.2109560074241354</v>
      </c>
      <c r="I3" s="31">
        <f>MEDIAN(C3:C7)</f>
        <v>2.6856717223666378</v>
      </c>
      <c r="J3" s="31"/>
      <c r="L3" s="31">
        <f>MEDIAN(G6:G17)*1.4286</f>
        <v>1.2693957361643857</v>
      </c>
      <c r="M3" s="31">
        <f>MEDIAN(H6:H20)*1.4286</f>
        <v>6.4931383307615054</v>
      </c>
      <c r="N3" s="31">
        <f>MEDIAN(I6:I14)*1.4286</f>
        <v>1.0275835416058645</v>
      </c>
    </row>
    <row r="4" spans="1:15">
      <c r="A4">
        <v>4.4164384044331744</v>
      </c>
      <c r="B4">
        <v>8.2402694961406038</v>
      </c>
      <c r="C4">
        <v>3.0567182624200417</v>
      </c>
    </row>
    <row r="5" spans="1:15" ht="15.75">
      <c r="A5">
        <v>2.8089818209551258</v>
      </c>
      <c r="B5">
        <v>5.445106488463801</v>
      </c>
      <c r="C5">
        <v>0.74156000265105138</v>
      </c>
      <c r="G5" s="29" t="s">
        <v>30</v>
      </c>
      <c r="H5" s="30" t="s">
        <v>31</v>
      </c>
      <c r="I5" s="28" t="s">
        <v>32</v>
      </c>
      <c r="J5" s="28"/>
      <c r="L5" s="32" t="s">
        <v>34</v>
      </c>
      <c r="M5" s="32" t="s">
        <v>35</v>
      </c>
      <c r="N5" s="32" t="s">
        <v>36</v>
      </c>
    </row>
    <row r="6" spans="1:15" ht="15.75">
      <c r="A6">
        <v>4.2853884038835783</v>
      </c>
      <c r="B6">
        <v>0.665850078009671</v>
      </c>
      <c r="C6">
        <v>2.4859982992799314</v>
      </c>
      <c r="G6">
        <f>IF(A3&lt;&gt;0,ABS(A3-$G$3),0)</f>
        <v>1.2323006646803414E-2</v>
      </c>
      <c r="H6">
        <f>IF(B3&lt;&gt;0,ABS(B3-$H$3),0)</f>
        <v>0.2341504810396664</v>
      </c>
      <c r="I6">
        <f>IF(C3&lt;&gt;0,ABS(C3-$I$3),0)</f>
        <v>0</v>
      </c>
      <c r="K6" s="33" t="s">
        <v>37</v>
      </c>
      <c r="L6" s="28">
        <f>G3+(2.5*L3)</f>
        <v>7.4465547376477401</v>
      </c>
      <c r="M6" s="28">
        <f>H3+(2.5*M3)</f>
        <v>21.4438018343279</v>
      </c>
      <c r="N6" s="28">
        <f>I3+(2.5*N3)</f>
        <v>5.2546305763812988</v>
      </c>
    </row>
    <row r="7" spans="1:15" ht="15.75">
      <c r="A7">
        <v>2.1429847859516311</v>
      </c>
      <c r="B7">
        <v>3.2560996505103894</v>
      </c>
      <c r="C7">
        <v>3.6125238914827067</v>
      </c>
      <c r="G7">
        <f t="shared" ref="G7:G52" si="0">IF(A4&lt;&gt;0,ABS(A4-$G$3),0)</f>
        <v>0.14337300719639856</v>
      </c>
      <c r="H7">
        <f t="shared" ref="H7:H52" si="1">IF(B4&lt;&gt;0,ABS(B4-$H$3),0)</f>
        <v>3.0293134887164683</v>
      </c>
      <c r="I7">
        <f t="shared" ref="I7:I52" si="2">IF(C4&lt;&gt;0,ABS(C4-$I$3),0)</f>
        <v>0.37104654005340398</v>
      </c>
      <c r="K7" s="33" t="s">
        <v>38</v>
      </c>
      <c r="L7" s="35">
        <f>G3-(2.5*L3)</f>
        <v>1.0995760568258115</v>
      </c>
      <c r="M7" s="48"/>
      <c r="N7" s="48"/>
    </row>
    <row r="8" spans="1:15">
      <c r="A8">
        <v>0.86602798017383686</v>
      </c>
      <c r="B8">
        <v>11.812433896711019</v>
      </c>
      <c r="C8">
        <v>1.5022361892368949</v>
      </c>
      <c r="G8">
        <f t="shared" si="0"/>
        <v>1.46408357628165</v>
      </c>
      <c r="H8">
        <f t="shared" si="1"/>
        <v>0.23415048103966551</v>
      </c>
      <c r="I8">
        <f t="shared" si="2"/>
        <v>1.9441117197155864</v>
      </c>
    </row>
    <row r="9" spans="1:15" ht="15.75">
      <c r="A9">
        <v>7.8603086893306058</v>
      </c>
      <c r="B9">
        <v>4.4090323738345498</v>
      </c>
      <c r="C9">
        <v>4.156709807434007</v>
      </c>
      <c r="G9">
        <f t="shared" si="0"/>
        <v>1.2323006646802526E-2</v>
      </c>
      <c r="H9">
        <f t="shared" si="1"/>
        <v>4.5451059294144649</v>
      </c>
      <c r="I9">
        <f t="shared" si="2"/>
        <v>0.19967342308670633</v>
      </c>
      <c r="L9" s="34" t="s">
        <v>39</v>
      </c>
      <c r="M9" s="34" t="s">
        <v>40</v>
      </c>
      <c r="N9" s="34" t="s">
        <v>41</v>
      </c>
    </row>
    <row r="10" spans="1:15">
      <c r="A10">
        <v>13.860003392164586</v>
      </c>
      <c r="B10">
        <v>2.646939843348973</v>
      </c>
      <c r="C10">
        <v>3.404965815608878</v>
      </c>
      <c r="G10">
        <f t="shared" si="0"/>
        <v>2.1300806112851447</v>
      </c>
      <c r="H10">
        <f t="shared" si="1"/>
        <v>1.954856356913746</v>
      </c>
      <c r="I10">
        <f t="shared" si="2"/>
        <v>0.92685216911606894</v>
      </c>
      <c r="L10">
        <v>0.86602798017383686</v>
      </c>
    </row>
    <row r="11" spans="1:15">
      <c r="A11">
        <v>5.2176794999431921</v>
      </c>
      <c r="B11">
        <v>5.1877057608344428</v>
      </c>
      <c r="G11">
        <f t="shared" si="0"/>
        <v>3.4070374170629387</v>
      </c>
      <c r="H11">
        <f t="shared" si="1"/>
        <v>6.6014778892868833</v>
      </c>
      <c r="I11">
        <f t="shared" si="2"/>
        <v>1.1834355331297428</v>
      </c>
      <c r="L11">
        <v>7.8603086893306058</v>
      </c>
    </row>
    <row r="12" spans="1:15">
      <c r="A12">
        <v>3.4405610116828176</v>
      </c>
      <c r="B12">
        <v>10.071346254852195</v>
      </c>
      <c r="G12">
        <f t="shared" si="0"/>
        <v>3.58724329209383</v>
      </c>
      <c r="H12">
        <f t="shared" si="1"/>
        <v>0.80192363358958563</v>
      </c>
      <c r="I12">
        <f t="shared" si="2"/>
        <v>1.4710380850673692</v>
      </c>
      <c r="L12">
        <v>13.860003392164586</v>
      </c>
    </row>
    <row r="13" spans="1:15">
      <c r="A13">
        <v>4.4441026941942479</v>
      </c>
      <c r="B13">
        <v>10.258849244489635</v>
      </c>
      <c r="G13">
        <f t="shared" si="0"/>
        <v>9.5869379949278102</v>
      </c>
      <c r="H13">
        <f t="shared" si="1"/>
        <v>2.5640161640751624</v>
      </c>
      <c r="I13">
        <f t="shared" si="2"/>
        <v>0.71929409324224025</v>
      </c>
      <c r="L13">
        <v>0</v>
      </c>
    </row>
    <row r="14" spans="1:15">
      <c r="A14">
        <v>3.988441979792158</v>
      </c>
      <c r="B14">
        <v>12.337690518693988</v>
      </c>
      <c r="G14">
        <f t="shared" si="0"/>
        <v>0.94461410270641633</v>
      </c>
      <c r="H14">
        <f t="shared" si="1"/>
        <v>2.3250246589692658E-2</v>
      </c>
      <c r="I14">
        <f t="shared" si="2"/>
        <v>0</v>
      </c>
      <c r="L14">
        <v>0</v>
      </c>
    </row>
    <row r="15" spans="1:15">
      <c r="A15">
        <v>0</v>
      </c>
      <c r="B15">
        <v>11.36441764226624</v>
      </c>
      <c r="G15">
        <f t="shared" si="0"/>
        <v>0.83250438555395823</v>
      </c>
      <c r="H15">
        <f t="shared" si="1"/>
        <v>4.8603902474280591</v>
      </c>
      <c r="I15">
        <f t="shared" si="2"/>
        <v>0</v>
      </c>
      <c r="L15">
        <v>0</v>
      </c>
    </row>
    <row r="16" spans="1:15">
      <c r="A16">
        <v>0</v>
      </c>
      <c r="B16">
        <v>12.768491282214047</v>
      </c>
      <c r="G16">
        <f t="shared" si="0"/>
        <v>0.17103729695747205</v>
      </c>
      <c r="H16">
        <f t="shared" si="1"/>
        <v>5.0478932370654999</v>
      </c>
      <c r="I16">
        <f t="shared" si="2"/>
        <v>0</v>
      </c>
      <c r="L16">
        <v>0</v>
      </c>
    </row>
    <row r="17" spans="1:12">
      <c r="A17">
        <v>0</v>
      </c>
      <c r="B17">
        <v>14.728161830320174</v>
      </c>
      <c r="G17">
        <f t="shared" si="0"/>
        <v>0.28462341744461783</v>
      </c>
      <c r="H17">
        <f t="shared" si="1"/>
        <v>7.1267345112698521</v>
      </c>
      <c r="I17">
        <f t="shared" si="2"/>
        <v>0</v>
      </c>
      <c r="L17">
        <v>0</v>
      </c>
    </row>
    <row r="18" spans="1:12">
      <c r="A18">
        <v>0</v>
      </c>
      <c r="B18">
        <v>15.67454316097322</v>
      </c>
      <c r="G18">
        <f t="shared" si="0"/>
        <v>0</v>
      </c>
      <c r="H18">
        <f t="shared" si="1"/>
        <v>6.1534616348421043</v>
      </c>
      <c r="I18">
        <f t="shared" si="2"/>
        <v>0</v>
      </c>
      <c r="L18">
        <v>0</v>
      </c>
    </row>
    <row r="19" spans="1:12">
      <c r="A19">
        <v>0</v>
      </c>
      <c r="G19">
        <f t="shared" si="0"/>
        <v>0</v>
      </c>
      <c r="H19">
        <f t="shared" si="1"/>
        <v>7.5575352747899114</v>
      </c>
      <c r="I19">
        <f t="shared" si="2"/>
        <v>0</v>
      </c>
    </row>
    <row r="20" spans="1:12">
      <c r="A20">
        <v>0</v>
      </c>
      <c r="G20">
        <f t="shared" si="0"/>
        <v>0</v>
      </c>
      <c r="H20">
        <f t="shared" si="1"/>
        <v>9.5172058228960381</v>
      </c>
      <c r="I20">
        <f t="shared" si="2"/>
        <v>0</v>
      </c>
    </row>
    <row r="21" spans="1:12">
      <c r="A21">
        <v>0</v>
      </c>
      <c r="G21">
        <f t="shared" si="0"/>
        <v>0</v>
      </c>
      <c r="H21">
        <f t="shared" si="1"/>
        <v>10.463587153549085</v>
      </c>
      <c r="I21">
        <f t="shared" si="2"/>
        <v>0</v>
      </c>
    </row>
    <row r="22" spans="1:12">
      <c r="A22">
        <v>0</v>
      </c>
      <c r="G22">
        <f t="shared" si="0"/>
        <v>0</v>
      </c>
      <c r="H22">
        <f t="shared" si="1"/>
        <v>0</v>
      </c>
      <c r="I22">
        <f t="shared" si="2"/>
        <v>0</v>
      </c>
    </row>
    <row r="23" spans="1:12">
      <c r="A23">
        <v>0</v>
      </c>
      <c r="G23">
        <f t="shared" si="0"/>
        <v>0</v>
      </c>
      <c r="H23">
        <f t="shared" si="1"/>
        <v>0</v>
      </c>
      <c r="I23">
        <f t="shared" si="2"/>
        <v>0</v>
      </c>
    </row>
    <row r="24" spans="1:12">
      <c r="A24">
        <v>0</v>
      </c>
      <c r="G24">
        <f t="shared" si="0"/>
        <v>0</v>
      </c>
      <c r="H24">
        <f t="shared" si="1"/>
        <v>0</v>
      </c>
      <c r="I24">
        <f t="shared" si="2"/>
        <v>0</v>
      </c>
    </row>
    <row r="25" spans="1:12">
      <c r="A25">
        <v>0</v>
      </c>
      <c r="G25">
        <f t="shared" si="0"/>
        <v>0</v>
      </c>
      <c r="H25">
        <f t="shared" si="1"/>
        <v>0</v>
      </c>
      <c r="I25">
        <f t="shared" si="2"/>
        <v>0</v>
      </c>
    </row>
    <row r="26" spans="1:12">
      <c r="A26">
        <v>0</v>
      </c>
      <c r="G26">
        <f t="shared" si="0"/>
        <v>0</v>
      </c>
      <c r="H26">
        <f t="shared" si="1"/>
        <v>0</v>
      </c>
      <c r="I26">
        <f t="shared" si="2"/>
        <v>0</v>
      </c>
    </row>
    <row r="27" spans="1:12">
      <c r="A27">
        <v>0</v>
      </c>
      <c r="G27">
        <f t="shared" si="0"/>
        <v>0</v>
      </c>
      <c r="H27">
        <f t="shared" si="1"/>
        <v>0</v>
      </c>
      <c r="I27">
        <f t="shared" si="2"/>
        <v>0</v>
      </c>
    </row>
    <row r="28" spans="1:12">
      <c r="A28">
        <v>0</v>
      </c>
      <c r="G28">
        <f t="shared" si="0"/>
        <v>0</v>
      </c>
      <c r="H28">
        <f t="shared" si="1"/>
        <v>0</v>
      </c>
      <c r="I28">
        <f t="shared" si="2"/>
        <v>0</v>
      </c>
    </row>
    <row r="29" spans="1:12">
      <c r="A29">
        <v>0</v>
      </c>
      <c r="G29">
        <f t="shared" si="0"/>
        <v>0</v>
      </c>
      <c r="H29">
        <f t="shared" si="1"/>
        <v>0</v>
      </c>
      <c r="I29">
        <f t="shared" si="2"/>
        <v>0</v>
      </c>
    </row>
    <row r="30" spans="1:12">
      <c r="A30">
        <v>0</v>
      </c>
      <c r="G30">
        <f t="shared" si="0"/>
        <v>0</v>
      </c>
      <c r="H30">
        <f t="shared" si="1"/>
        <v>0</v>
      </c>
      <c r="I30">
        <f t="shared" si="2"/>
        <v>0</v>
      </c>
    </row>
    <row r="31" spans="1:12">
      <c r="A31">
        <v>0</v>
      </c>
      <c r="G31">
        <f t="shared" si="0"/>
        <v>0</v>
      </c>
      <c r="H31">
        <f t="shared" si="1"/>
        <v>0</v>
      </c>
      <c r="I31">
        <f t="shared" si="2"/>
        <v>0</v>
      </c>
    </row>
    <row r="32" spans="1:12">
      <c r="A32">
        <v>0</v>
      </c>
      <c r="G32">
        <f t="shared" si="0"/>
        <v>0</v>
      </c>
      <c r="H32">
        <f t="shared" si="1"/>
        <v>0</v>
      </c>
      <c r="I32">
        <f t="shared" si="2"/>
        <v>0</v>
      </c>
    </row>
    <row r="33" spans="1:9">
      <c r="A33">
        <v>0</v>
      </c>
      <c r="G33">
        <f t="shared" si="0"/>
        <v>0</v>
      </c>
      <c r="H33">
        <f t="shared" si="1"/>
        <v>0</v>
      </c>
      <c r="I33">
        <f t="shared" si="2"/>
        <v>0</v>
      </c>
    </row>
    <row r="34" spans="1:9">
      <c r="A34">
        <v>0</v>
      </c>
      <c r="G34">
        <f t="shared" si="0"/>
        <v>0</v>
      </c>
      <c r="H34">
        <f t="shared" si="1"/>
        <v>0</v>
      </c>
      <c r="I34">
        <f t="shared" si="2"/>
        <v>0</v>
      </c>
    </row>
    <row r="35" spans="1:9">
      <c r="A35">
        <v>0</v>
      </c>
      <c r="G35">
        <f t="shared" si="0"/>
        <v>0</v>
      </c>
      <c r="H35">
        <f t="shared" si="1"/>
        <v>0</v>
      </c>
      <c r="I35">
        <f t="shared" si="2"/>
        <v>0</v>
      </c>
    </row>
    <row r="36" spans="1:9">
      <c r="A36">
        <v>0</v>
      </c>
      <c r="G36">
        <f t="shared" si="0"/>
        <v>0</v>
      </c>
      <c r="H36">
        <f t="shared" si="1"/>
        <v>0</v>
      </c>
      <c r="I36">
        <f t="shared" si="2"/>
        <v>0</v>
      </c>
    </row>
    <row r="37" spans="1:9">
      <c r="A37">
        <v>0</v>
      </c>
      <c r="G37">
        <f t="shared" si="0"/>
        <v>0</v>
      </c>
      <c r="H37">
        <f t="shared" si="1"/>
        <v>0</v>
      </c>
      <c r="I37">
        <f t="shared" si="2"/>
        <v>0</v>
      </c>
    </row>
    <row r="38" spans="1:9">
      <c r="A38">
        <v>0</v>
      </c>
      <c r="G38">
        <f t="shared" si="0"/>
        <v>0</v>
      </c>
      <c r="H38">
        <f t="shared" si="1"/>
        <v>0</v>
      </c>
      <c r="I38">
        <f t="shared" si="2"/>
        <v>0</v>
      </c>
    </row>
    <row r="39" spans="1:9">
      <c r="A39">
        <v>0</v>
      </c>
      <c r="G39">
        <f t="shared" si="0"/>
        <v>0</v>
      </c>
      <c r="H39">
        <f t="shared" si="1"/>
        <v>0</v>
      </c>
      <c r="I39">
        <f t="shared" si="2"/>
        <v>0</v>
      </c>
    </row>
    <row r="40" spans="1:9">
      <c r="A40">
        <v>0</v>
      </c>
      <c r="G40">
        <f t="shared" si="0"/>
        <v>0</v>
      </c>
      <c r="H40">
        <f t="shared" si="1"/>
        <v>0</v>
      </c>
      <c r="I40">
        <f t="shared" si="2"/>
        <v>0</v>
      </c>
    </row>
    <row r="41" spans="1:9">
      <c r="A41">
        <v>0</v>
      </c>
      <c r="G41">
        <f t="shared" si="0"/>
        <v>0</v>
      </c>
      <c r="H41">
        <f t="shared" si="1"/>
        <v>0</v>
      </c>
      <c r="I41">
        <f t="shared" si="2"/>
        <v>0</v>
      </c>
    </row>
    <row r="42" spans="1:9">
      <c r="A42">
        <v>0</v>
      </c>
      <c r="G42">
        <f t="shared" si="0"/>
        <v>0</v>
      </c>
      <c r="H42">
        <f t="shared" si="1"/>
        <v>0</v>
      </c>
      <c r="I42">
        <f t="shared" si="2"/>
        <v>0</v>
      </c>
    </row>
    <row r="43" spans="1:9">
      <c r="A43">
        <v>0</v>
      </c>
      <c r="G43">
        <f t="shared" si="0"/>
        <v>0</v>
      </c>
      <c r="H43">
        <f t="shared" si="1"/>
        <v>0</v>
      </c>
      <c r="I43">
        <f t="shared" si="2"/>
        <v>0</v>
      </c>
    </row>
    <row r="44" spans="1:9">
      <c r="A44">
        <v>0</v>
      </c>
      <c r="G44">
        <f t="shared" si="0"/>
        <v>0</v>
      </c>
      <c r="H44">
        <f t="shared" si="1"/>
        <v>0</v>
      </c>
      <c r="I44">
        <f t="shared" si="2"/>
        <v>0</v>
      </c>
    </row>
    <row r="45" spans="1:9">
      <c r="A45">
        <v>0</v>
      </c>
      <c r="G45">
        <f t="shared" si="0"/>
        <v>0</v>
      </c>
      <c r="H45">
        <f t="shared" si="1"/>
        <v>0</v>
      </c>
      <c r="I45">
        <f t="shared" si="2"/>
        <v>0</v>
      </c>
    </row>
    <row r="46" spans="1:9">
      <c r="A46">
        <v>0</v>
      </c>
      <c r="G46">
        <f t="shared" si="0"/>
        <v>0</v>
      </c>
      <c r="H46">
        <f t="shared" si="1"/>
        <v>0</v>
      </c>
      <c r="I46">
        <f t="shared" si="2"/>
        <v>0</v>
      </c>
    </row>
    <row r="47" spans="1:9">
      <c r="A47">
        <v>0</v>
      </c>
      <c r="G47">
        <f t="shared" si="0"/>
        <v>0</v>
      </c>
      <c r="H47">
        <f t="shared" si="1"/>
        <v>0</v>
      </c>
      <c r="I47">
        <f t="shared" si="2"/>
        <v>0</v>
      </c>
    </row>
    <row r="48" spans="1:9">
      <c r="A48">
        <v>0</v>
      </c>
      <c r="G48">
        <f t="shared" si="0"/>
        <v>0</v>
      </c>
      <c r="H48">
        <f t="shared" si="1"/>
        <v>0</v>
      </c>
      <c r="I48">
        <f t="shared" si="2"/>
        <v>0</v>
      </c>
    </row>
    <row r="49" spans="1:9">
      <c r="A49">
        <v>0</v>
      </c>
      <c r="G49">
        <f t="shared" si="0"/>
        <v>0</v>
      </c>
      <c r="H49">
        <f t="shared" si="1"/>
        <v>0</v>
      </c>
      <c r="I49">
        <f t="shared" si="2"/>
        <v>0</v>
      </c>
    </row>
    <row r="50" spans="1:9">
      <c r="A50">
        <v>0</v>
      </c>
      <c r="G50">
        <f t="shared" si="0"/>
        <v>0</v>
      </c>
      <c r="H50">
        <f t="shared" si="1"/>
        <v>0</v>
      </c>
      <c r="I50">
        <f t="shared" si="2"/>
        <v>0</v>
      </c>
    </row>
    <row r="51" spans="1:9">
      <c r="A51">
        <v>0</v>
      </c>
      <c r="G51">
        <f t="shared" si="0"/>
        <v>0</v>
      </c>
      <c r="H51">
        <f t="shared" si="1"/>
        <v>0</v>
      </c>
      <c r="I51">
        <f t="shared" si="2"/>
        <v>0</v>
      </c>
    </row>
    <row r="52" spans="1:9">
      <c r="A52">
        <v>0</v>
      </c>
      <c r="G52">
        <f t="shared" si="0"/>
        <v>0</v>
      </c>
      <c r="H52">
        <f t="shared" si="1"/>
        <v>0</v>
      </c>
      <c r="I52">
        <f t="shared" si="2"/>
        <v>0</v>
      </c>
    </row>
  </sheetData>
  <sortState ref="C3:C7">
    <sortCondition ref="C3"/>
  </sortState>
  <mergeCells count="3">
    <mergeCell ref="A1:D1"/>
    <mergeCell ref="G1:I1"/>
    <mergeCell ref="L1:O1"/>
  </mergeCells>
  <pageMargins left="0.7" right="0.7" top="0.75" bottom="0.75" header="0.3" footer="0.3"/>
  <legacyDrawing r:id="rId1"/>
  <controls>
    <control shapeId="3073" r:id="rId2" name="CommandButton1"/>
    <control shapeId="3075" r:id="rId3" name="CommandButton2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Q56"/>
  <sheetViews>
    <sheetView topLeftCell="C1" workbookViewId="0">
      <selection activeCell="P7" sqref="P7"/>
    </sheetView>
  </sheetViews>
  <sheetFormatPr defaultRowHeight="15"/>
  <cols>
    <col min="1" max="1" width="18.28515625" customWidth="1"/>
    <col min="2" max="3" width="18.42578125" customWidth="1"/>
    <col min="5" max="5" width="18.85546875" customWidth="1"/>
    <col min="6" max="6" width="11.85546875" customWidth="1"/>
    <col min="7" max="7" width="8" customWidth="1"/>
    <col min="9" max="9" width="17.5703125" bestFit="1" customWidth="1"/>
    <col min="10" max="10" width="18.42578125" customWidth="1"/>
    <col min="11" max="11" width="18.5703125" customWidth="1"/>
  </cols>
  <sheetData>
    <row r="1" spans="1:17" ht="18.75">
      <c r="A1" s="56" t="s">
        <v>43</v>
      </c>
      <c r="B1" s="56"/>
      <c r="C1" s="56"/>
      <c r="D1" s="56"/>
      <c r="I1" s="60" t="s">
        <v>44</v>
      </c>
      <c r="J1" s="60"/>
      <c r="K1" s="60"/>
    </row>
    <row r="2" spans="1:17" ht="15.75">
      <c r="A2" s="29" t="s">
        <v>14</v>
      </c>
      <c r="B2" s="30" t="s">
        <v>15</v>
      </c>
      <c r="C2" s="35" t="s">
        <v>16</v>
      </c>
      <c r="I2" s="29" t="s">
        <v>45</v>
      </c>
      <c r="J2" s="30" t="s">
        <v>46</v>
      </c>
      <c r="K2" s="35" t="s">
        <v>47</v>
      </c>
    </row>
    <row r="3" spans="1:17" ht="15.75">
      <c r="A3">
        <v>4.2607423905899724</v>
      </c>
      <c r="B3">
        <v>4.976805526384469</v>
      </c>
      <c r="C3">
        <v>2.6856717223666378</v>
      </c>
      <c r="I3" s="31">
        <f>MAX(A3:A14)</f>
        <v>13.860003392164586</v>
      </c>
      <c r="J3" s="31">
        <f>MAX(B3:B18)</f>
        <v>15.67454316097322</v>
      </c>
      <c r="K3" s="31">
        <f>MAX(C3:C10)</f>
        <v>4.156709807434007</v>
      </c>
    </row>
    <row r="4" spans="1:17">
      <c r="A4">
        <v>4.4164384044331744</v>
      </c>
      <c r="B4">
        <v>8.2402694961406038</v>
      </c>
      <c r="C4">
        <v>3.0567182624200417</v>
      </c>
    </row>
    <row r="5" spans="1:17" ht="15.75">
      <c r="A5">
        <v>2.8089818209551258</v>
      </c>
      <c r="B5">
        <v>5.445106488463801</v>
      </c>
      <c r="C5">
        <v>0.74156000265105138</v>
      </c>
      <c r="H5" s="59" t="s">
        <v>55</v>
      </c>
      <c r="I5" s="59"/>
      <c r="J5" s="59"/>
      <c r="K5" s="59"/>
      <c r="L5" s="63" t="s">
        <v>53</v>
      </c>
      <c r="M5" s="63"/>
      <c r="N5" s="63"/>
      <c r="O5" s="58" t="s">
        <v>54</v>
      </c>
      <c r="P5" s="58"/>
      <c r="Q5" s="58"/>
    </row>
    <row r="6" spans="1:17" ht="15.75">
      <c r="A6">
        <v>4.2853884038835783</v>
      </c>
      <c r="B6">
        <v>0.665850078009671</v>
      </c>
      <c r="C6">
        <v>2.4859982992799314</v>
      </c>
      <c r="G6" s="62" t="s">
        <v>56</v>
      </c>
      <c r="H6" s="62"/>
      <c r="I6" s="36" t="s">
        <v>52</v>
      </c>
      <c r="J6" s="61" t="s">
        <v>48</v>
      </c>
      <c r="K6" s="61"/>
      <c r="L6" s="29" t="s">
        <v>49</v>
      </c>
      <c r="M6" s="30" t="s">
        <v>50</v>
      </c>
      <c r="N6" s="35" t="s">
        <v>51</v>
      </c>
      <c r="O6" s="46" t="s">
        <v>49</v>
      </c>
      <c r="P6" s="47" t="s">
        <v>50</v>
      </c>
      <c r="Q6" s="45" t="s">
        <v>51</v>
      </c>
    </row>
    <row r="7" spans="1:17">
      <c r="A7">
        <v>2.1429847859516311</v>
      </c>
      <c r="B7">
        <v>3.2560996505103894</v>
      </c>
      <c r="C7">
        <v>3.6125238914827067</v>
      </c>
      <c r="F7">
        <f>SQRT((G7-J19)^2+(H7-K19)^2)</f>
        <v>30.860771648881091</v>
      </c>
      <c r="G7" s="37">
        <v>10</v>
      </c>
      <c r="H7" s="37">
        <v>42</v>
      </c>
      <c r="I7" s="41">
        <v>4.2607423905899724</v>
      </c>
      <c r="J7" s="39">
        <v>11.140396555062697</v>
      </c>
      <c r="K7" s="40">
        <v>37.894708120465552</v>
      </c>
      <c r="M7">
        <f>IF(F7&lt;I3,1,0)</f>
        <v>0</v>
      </c>
    </row>
    <row r="8" spans="1:17">
      <c r="A8">
        <v>0.86602798017383686</v>
      </c>
      <c r="B8">
        <v>11.812433896711019</v>
      </c>
      <c r="C8">
        <v>1.5022361892368949</v>
      </c>
      <c r="G8" s="37"/>
      <c r="H8" s="37"/>
      <c r="I8" s="41">
        <v>4.4164384044331744</v>
      </c>
      <c r="J8" s="39">
        <v>11.140396555062697</v>
      </c>
      <c r="K8" s="40">
        <v>37.894708120465552</v>
      </c>
    </row>
    <row r="9" spans="1:17">
      <c r="A9">
        <v>7.8603086893306058</v>
      </c>
      <c r="B9">
        <v>4.4090323738345498</v>
      </c>
      <c r="C9">
        <v>4.156709807434007</v>
      </c>
      <c r="G9" s="37"/>
      <c r="H9" s="37"/>
      <c r="I9" s="41">
        <v>2.8089818209551258</v>
      </c>
      <c r="J9" s="39">
        <v>11.140396555062697</v>
      </c>
      <c r="K9" s="40">
        <v>37.894708120465552</v>
      </c>
    </row>
    <row r="10" spans="1:17">
      <c r="A10">
        <v>13.860003392164586</v>
      </c>
      <c r="B10">
        <v>2.646939843348973</v>
      </c>
      <c r="C10">
        <v>3.404965815608878</v>
      </c>
      <c r="G10" s="37"/>
      <c r="H10" s="37"/>
      <c r="I10" s="41">
        <v>4.2853884038835783</v>
      </c>
      <c r="J10" s="39">
        <v>11.140396555062697</v>
      </c>
      <c r="K10" s="40">
        <v>37.894708120465552</v>
      </c>
    </row>
    <row r="11" spans="1:17">
      <c r="A11">
        <v>5.2176794999431921</v>
      </c>
      <c r="B11">
        <v>5.1877057608344428</v>
      </c>
      <c r="G11" s="37"/>
      <c r="H11" s="37"/>
      <c r="I11" s="41">
        <v>2.1429847859516311</v>
      </c>
      <c r="J11" s="39">
        <v>11.140396555062697</v>
      </c>
      <c r="K11" s="40">
        <v>37.894708120465552</v>
      </c>
    </row>
    <row r="12" spans="1:17">
      <c r="A12">
        <v>3.4405610116828176</v>
      </c>
      <c r="B12">
        <v>10.071346254852195</v>
      </c>
      <c r="G12" s="37"/>
      <c r="H12" s="37"/>
      <c r="I12" s="41">
        <v>0.86602798017383686</v>
      </c>
      <c r="J12" s="41">
        <v>11.140396555062697</v>
      </c>
      <c r="K12" s="39">
        <v>37.894708120465552</v>
      </c>
    </row>
    <row r="13" spans="1:17">
      <c r="A13">
        <v>4.4441026941942479</v>
      </c>
      <c r="B13">
        <v>10.258849244489635</v>
      </c>
      <c r="G13" s="37"/>
      <c r="H13" s="37"/>
      <c r="I13" s="41">
        <v>7.8603086893306058</v>
      </c>
      <c r="J13" s="41">
        <v>11.140396555062697</v>
      </c>
      <c r="K13" s="39">
        <v>37.894708120465552</v>
      </c>
    </row>
    <row r="14" spans="1:17">
      <c r="A14">
        <v>3.988441979792158</v>
      </c>
      <c r="B14">
        <v>12.337690518693988</v>
      </c>
      <c r="G14" s="37"/>
      <c r="H14" s="37"/>
      <c r="I14" s="41">
        <v>13.860003392164586</v>
      </c>
      <c r="J14" s="41">
        <v>11.140396555062697</v>
      </c>
      <c r="K14" s="39">
        <v>37.894708120465552</v>
      </c>
    </row>
    <row r="15" spans="1:17">
      <c r="A15">
        <v>0</v>
      </c>
      <c r="B15">
        <v>11.36441764226624</v>
      </c>
      <c r="G15" s="37"/>
      <c r="H15" s="37"/>
      <c r="I15" s="41">
        <v>5.2176794999431921</v>
      </c>
      <c r="J15" s="41">
        <v>11.140396555062697</v>
      </c>
      <c r="K15" s="39">
        <v>37.894708120465552</v>
      </c>
    </row>
    <row r="16" spans="1:17">
      <c r="A16">
        <v>0</v>
      </c>
      <c r="B16">
        <v>12.768491282214047</v>
      </c>
      <c r="G16" s="37"/>
      <c r="H16" s="37"/>
      <c r="I16" s="41">
        <v>3.4405610116828176</v>
      </c>
      <c r="J16" s="40">
        <v>11.140396555062697</v>
      </c>
      <c r="K16" s="40">
        <v>37.894708120465552</v>
      </c>
    </row>
    <row r="17" spans="1:11">
      <c r="A17">
        <v>0</v>
      </c>
      <c r="B17">
        <v>14.728161830320174</v>
      </c>
      <c r="G17" s="37"/>
      <c r="H17" s="37"/>
      <c r="I17" s="41">
        <v>4.4441026941942479</v>
      </c>
      <c r="J17" s="40">
        <v>11.140396555062697</v>
      </c>
      <c r="K17" s="40">
        <v>37.894708120465552</v>
      </c>
    </row>
    <row r="18" spans="1:11">
      <c r="A18">
        <v>0</v>
      </c>
      <c r="B18">
        <v>15.67454316097322</v>
      </c>
      <c r="G18" s="37"/>
      <c r="H18" s="37"/>
      <c r="I18" s="41">
        <v>3.988441979792158</v>
      </c>
      <c r="J18" s="40">
        <v>11.140396555062697</v>
      </c>
      <c r="K18" s="40">
        <v>37.894708120465552</v>
      </c>
    </row>
    <row r="19" spans="1:11">
      <c r="A19">
        <v>0</v>
      </c>
      <c r="G19" s="37"/>
      <c r="H19" s="37"/>
      <c r="I19" s="43">
        <v>4.976805526384469</v>
      </c>
      <c r="J19" s="42">
        <v>33.806861898721934</v>
      </c>
      <c r="K19" s="42">
        <v>22.362776334227778</v>
      </c>
    </row>
    <row r="20" spans="1:11">
      <c r="A20">
        <v>0</v>
      </c>
      <c r="G20" s="37"/>
      <c r="H20" s="37"/>
      <c r="I20" s="43">
        <v>8.2402694961406038</v>
      </c>
      <c r="J20" s="42">
        <v>33.806861898721934</v>
      </c>
      <c r="K20" s="42">
        <v>22.362776334227778</v>
      </c>
    </row>
    <row r="21" spans="1:11">
      <c r="A21">
        <v>0</v>
      </c>
      <c r="G21" s="37"/>
      <c r="H21" s="37"/>
      <c r="I21" s="43">
        <v>5.445106488463801</v>
      </c>
      <c r="J21" s="43">
        <v>33.806861898721934</v>
      </c>
      <c r="K21" s="43">
        <v>22.362776334227778</v>
      </c>
    </row>
    <row r="22" spans="1:11">
      <c r="A22">
        <v>0</v>
      </c>
      <c r="G22" s="37"/>
      <c r="H22" s="37"/>
      <c r="I22" s="43">
        <v>0.665850078009671</v>
      </c>
      <c r="J22" s="43">
        <v>33.806861898721934</v>
      </c>
      <c r="K22" s="43">
        <v>22.362776334227778</v>
      </c>
    </row>
    <row r="23" spans="1:11">
      <c r="A23">
        <v>0</v>
      </c>
      <c r="G23" s="37"/>
      <c r="H23" s="37"/>
      <c r="I23" s="43">
        <v>3.2560996505103894</v>
      </c>
      <c r="J23" s="43">
        <v>33.806861898721934</v>
      </c>
      <c r="K23" s="43">
        <v>22.362776334227778</v>
      </c>
    </row>
    <row r="24" spans="1:11">
      <c r="A24">
        <v>0</v>
      </c>
      <c r="G24" s="37"/>
      <c r="H24" s="37"/>
      <c r="I24" s="43">
        <v>11.812433896711019</v>
      </c>
      <c r="J24" s="43">
        <v>33.806861898721934</v>
      </c>
      <c r="K24" s="43">
        <v>22.362776334227778</v>
      </c>
    </row>
    <row r="25" spans="1:11">
      <c r="A25">
        <v>0</v>
      </c>
      <c r="G25" s="37"/>
      <c r="H25" s="37"/>
      <c r="I25" s="43">
        <v>4.4090323738345498</v>
      </c>
      <c r="J25" s="43">
        <v>33.806861898721934</v>
      </c>
      <c r="K25" s="43">
        <v>22.362776334227778</v>
      </c>
    </row>
    <row r="26" spans="1:11">
      <c r="A26">
        <v>0</v>
      </c>
      <c r="G26" s="37"/>
      <c r="H26" s="37"/>
      <c r="I26" s="43">
        <v>2.646939843348973</v>
      </c>
      <c r="J26" s="43">
        <v>33.806861898721934</v>
      </c>
      <c r="K26" s="43">
        <v>22.362776334227778</v>
      </c>
    </row>
    <row r="27" spans="1:11">
      <c r="A27">
        <v>0</v>
      </c>
      <c r="G27" s="37"/>
      <c r="H27" s="37"/>
      <c r="I27" s="43">
        <v>5.1877057608344428</v>
      </c>
      <c r="J27" s="43">
        <v>33.806861898721934</v>
      </c>
      <c r="K27" s="43">
        <v>22.362776334227778</v>
      </c>
    </row>
    <row r="28" spans="1:11">
      <c r="A28">
        <v>0</v>
      </c>
      <c r="G28" s="37"/>
      <c r="H28" s="37"/>
      <c r="I28" s="43">
        <v>10.071346254852195</v>
      </c>
      <c r="J28" s="43">
        <v>33.806861898721934</v>
      </c>
      <c r="K28" s="43">
        <v>22.362776334227778</v>
      </c>
    </row>
    <row r="29" spans="1:11">
      <c r="A29">
        <v>0</v>
      </c>
      <c r="G29" s="37"/>
      <c r="H29" s="37"/>
      <c r="I29" s="43">
        <v>10.258849244489635</v>
      </c>
      <c r="J29" s="43">
        <v>33.806861898721934</v>
      </c>
      <c r="K29" s="43">
        <v>22.362776334227778</v>
      </c>
    </row>
    <row r="30" spans="1:11">
      <c r="A30">
        <v>0</v>
      </c>
      <c r="G30" s="37"/>
      <c r="H30" s="37"/>
      <c r="I30" s="43">
        <v>12.337690518693988</v>
      </c>
      <c r="J30" s="43">
        <v>33.806861898721934</v>
      </c>
      <c r="K30" s="43">
        <v>22.362776334227778</v>
      </c>
    </row>
    <row r="31" spans="1:11">
      <c r="A31">
        <v>0</v>
      </c>
      <c r="G31" s="37"/>
      <c r="H31" s="37"/>
      <c r="I31" s="43">
        <v>11.36441764226624</v>
      </c>
      <c r="J31" s="43">
        <v>33.806861898721934</v>
      </c>
      <c r="K31" s="43">
        <v>22.362776334227778</v>
      </c>
    </row>
    <row r="32" spans="1:11">
      <c r="A32">
        <v>0</v>
      </c>
      <c r="G32" s="37"/>
      <c r="H32" s="37"/>
      <c r="I32" s="43">
        <v>12.768491282214047</v>
      </c>
      <c r="J32" s="43">
        <v>33.806861898721934</v>
      </c>
      <c r="K32" s="43">
        <v>22.362776334227778</v>
      </c>
    </row>
    <row r="33" spans="1:11">
      <c r="A33">
        <v>0</v>
      </c>
      <c r="G33" s="37"/>
      <c r="H33" s="37"/>
      <c r="I33" s="43">
        <v>14.728161830320174</v>
      </c>
      <c r="J33" s="43">
        <v>33.806861898721934</v>
      </c>
      <c r="K33" s="43">
        <v>22.362776334227778</v>
      </c>
    </row>
    <row r="34" spans="1:11">
      <c r="A34">
        <v>0</v>
      </c>
      <c r="G34" s="37"/>
      <c r="H34" s="37"/>
      <c r="I34" s="43">
        <v>15.67454316097322</v>
      </c>
      <c r="J34" s="43">
        <v>33.806861898721934</v>
      </c>
      <c r="K34" s="43">
        <v>22.362776334227778</v>
      </c>
    </row>
    <row r="35" spans="1:11">
      <c r="A35">
        <v>0</v>
      </c>
      <c r="G35" s="38"/>
      <c r="H35" s="38"/>
      <c r="I35" s="44">
        <v>2.6856717223666378</v>
      </c>
      <c r="J35" s="44">
        <v>41.592430923377279</v>
      </c>
      <c r="K35" s="44">
        <v>42.380485120991651</v>
      </c>
    </row>
    <row r="36" spans="1:11">
      <c r="A36">
        <v>0</v>
      </c>
      <c r="G36" s="38"/>
      <c r="H36" s="38"/>
      <c r="I36" s="44">
        <v>3.0567182624200417</v>
      </c>
      <c r="J36" s="44">
        <v>41.592430923377279</v>
      </c>
      <c r="K36" s="44">
        <v>42.380485120991651</v>
      </c>
    </row>
    <row r="37" spans="1:11">
      <c r="A37">
        <v>0</v>
      </c>
      <c r="G37" s="38"/>
      <c r="H37" s="38"/>
      <c r="I37" s="44">
        <v>0.74156000265105138</v>
      </c>
      <c r="J37" s="44">
        <v>41.592430923377279</v>
      </c>
      <c r="K37" s="44">
        <v>42.380485120991651</v>
      </c>
    </row>
    <row r="38" spans="1:11">
      <c r="A38">
        <v>0</v>
      </c>
      <c r="G38" s="38"/>
      <c r="H38" s="38"/>
      <c r="I38" s="44">
        <v>2.4859982992799314</v>
      </c>
      <c r="J38" s="44">
        <v>41.592430923377279</v>
      </c>
      <c r="K38" s="44">
        <v>42.380485120991651</v>
      </c>
    </row>
    <row r="39" spans="1:11">
      <c r="A39">
        <v>0</v>
      </c>
      <c r="G39" s="38"/>
      <c r="H39" s="38"/>
      <c r="I39" s="44">
        <v>3.6125238914827067</v>
      </c>
      <c r="J39" s="44">
        <v>41.592430923377279</v>
      </c>
      <c r="K39" s="44">
        <v>42.380485120991651</v>
      </c>
    </row>
    <row r="40" spans="1:11">
      <c r="A40">
        <v>0</v>
      </c>
      <c r="G40" s="38"/>
      <c r="H40" s="38"/>
      <c r="I40" s="44">
        <v>1.5022361892368949</v>
      </c>
      <c r="J40" s="44">
        <v>41.592430923377279</v>
      </c>
      <c r="K40" s="44">
        <v>42.380485120991651</v>
      </c>
    </row>
    <row r="41" spans="1:11">
      <c r="A41">
        <v>0</v>
      </c>
      <c r="G41" s="38"/>
      <c r="H41" s="38"/>
      <c r="I41" s="44">
        <v>4.156709807434007</v>
      </c>
      <c r="J41" s="44">
        <v>41.592430923377279</v>
      </c>
      <c r="K41" s="44">
        <v>42.380485120991651</v>
      </c>
    </row>
    <row r="42" spans="1:11">
      <c r="A42">
        <v>0</v>
      </c>
      <c r="G42" s="38"/>
      <c r="H42" s="38"/>
      <c r="I42" s="44">
        <v>3.404965815608878</v>
      </c>
      <c r="J42" s="44">
        <v>41.592430923377279</v>
      </c>
      <c r="K42" s="44">
        <v>42.380485120991651</v>
      </c>
    </row>
    <row r="43" spans="1:11">
      <c r="A43">
        <v>0</v>
      </c>
      <c r="G43">
        <v>0</v>
      </c>
      <c r="H43">
        <v>0</v>
      </c>
      <c r="I43" s="37">
        <v>0</v>
      </c>
    </row>
    <row r="44" spans="1:11">
      <c r="A44">
        <v>0</v>
      </c>
      <c r="G44">
        <v>0</v>
      </c>
      <c r="H44">
        <v>0</v>
      </c>
      <c r="I44" s="37">
        <v>0</v>
      </c>
    </row>
    <row r="45" spans="1:11">
      <c r="A45">
        <v>0</v>
      </c>
      <c r="G45">
        <v>0</v>
      </c>
      <c r="H45">
        <v>0</v>
      </c>
      <c r="I45" s="37">
        <v>0</v>
      </c>
    </row>
    <row r="46" spans="1:11">
      <c r="A46">
        <v>0</v>
      </c>
      <c r="G46">
        <v>0</v>
      </c>
      <c r="H46">
        <v>0</v>
      </c>
      <c r="I46" s="37">
        <v>0</v>
      </c>
    </row>
    <row r="47" spans="1:11">
      <c r="A47">
        <v>0</v>
      </c>
      <c r="G47">
        <v>0</v>
      </c>
      <c r="H47">
        <v>0</v>
      </c>
      <c r="I47" s="37">
        <v>0</v>
      </c>
    </row>
    <row r="48" spans="1:11">
      <c r="A48">
        <v>0</v>
      </c>
      <c r="G48">
        <v>0</v>
      </c>
      <c r="H48">
        <v>0</v>
      </c>
      <c r="I48" s="37">
        <v>0</v>
      </c>
    </row>
    <row r="49" spans="1:9">
      <c r="A49">
        <v>0</v>
      </c>
      <c r="G49">
        <v>0</v>
      </c>
      <c r="H49">
        <v>0</v>
      </c>
      <c r="I49" s="37">
        <v>0</v>
      </c>
    </row>
    <row r="50" spans="1:9">
      <c r="A50">
        <v>0</v>
      </c>
      <c r="G50">
        <v>0</v>
      </c>
      <c r="H50">
        <v>0</v>
      </c>
      <c r="I50" s="37">
        <v>0</v>
      </c>
    </row>
    <row r="51" spans="1:9">
      <c r="A51">
        <v>0</v>
      </c>
      <c r="G51">
        <v>0</v>
      </c>
      <c r="H51">
        <v>0</v>
      </c>
      <c r="I51" s="37">
        <v>0</v>
      </c>
    </row>
    <row r="52" spans="1:9">
      <c r="A52">
        <v>0</v>
      </c>
      <c r="G52">
        <v>0</v>
      </c>
      <c r="H52">
        <v>0</v>
      </c>
      <c r="I52" s="37">
        <v>0</v>
      </c>
    </row>
    <row r="53" spans="1:9">
      <c r="G53">
        <v>0</v>
      </c>
      <c r="H53">
        <v>0</v>
      </c>
      <c r="I53" s="37">
        <v>0</v>
      </c>
    </row>
    <row r="54" spans="1:9">
      <c r="G54">
        <v>0</v>
      </c>
      <c r="H54">
        <v>0</v>
      </c>
      <c r="I54" s="37">
        <v>0</v>
      </c>
    </row>
    <row r="55" spans="1:9">
      <c r="G55">
        <v>0</v>
      </c>
      <c r="H55">
        <v>0</v>
      </c>
      <c r="I55" s="37">
        <v>0</v>
      </c>
    </row>
    <row r="56" spans="1:9">
      <c r="G56">
        <v>0</v>
      </c>
      <c r="H56">
        <v>0</v>
      </c>
      <c r="I56" s="37">
        <v>0</v>
      </c>
    </row>
  </sheetData>
  <mergeCells count="7">
    <mergeCell ref="O5:Q5"/>
    <mergeCell ref="H5:K5"/>
    <mergeCell ref="A1:D1"/>
    <mergeCell ref="I1:K1"/>
    <mergeCell ref="J6:K6"/>
    <mergeCell ref="G6:H6"/>
    <mergeCell ref="L5:N5"/>
  </mergeCells>
  <pageMargins left="0.7" right="0.7" top="0.75" bottom="0.75" header="0.3" footer="0.3"/>
  <legacyDrawing r:id="rId1"/>
  <controls>
    <control shapeId="8195" r:id="rId2" name="CommandButton3"/>
    <control shapeId="8193" r:id="rId3" name="CommandButton1"/>
    <control shapeId="8194" r:id="rId4" name="CommandButton2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M64"/>
  <sheetViews>
    <sheetView workbookViewId="0">
      <selection activeCell="I4" sqref="I4"/>
    </sheetView>
  </sheetViews>
  <sheetFormatPr defaultRowHeight="15"/>
  <cols>
    <col min="5" max="5" width="14.85546875" bestFit="1" customWidth="1"/>
  </cols>
  <sheetData>
    <row r="1" spans="1:13">
      <c r="B1">
        <v>0.39778833810826986</v>
      </c>
      <c r="C1">
        <f>ABS(B1-$B$6)</f>
        <v>0.30433202451912489</v>
      </c>
      <c r="E1">
        <v>1</v>
      </c>
      <c r="F1">
        <f>ABS(E1-$E$9)</f>
        <v>8</v>
      </c>
      <c r="I1" t="s">
        <v>21</v>
      </c>
      <c r="M1">
        <v>5</v>
      </c>
    </row>
    <row r="2" spans="1:13">
      <c r="B2">
        <v>0.39778833810826986</v>
      </c>
      <c r="C2">
        <f>B2-$B$6</f>
        <v>-0.30433202451912489</v>
      </c>
      <c r="E2">
        <v>50</v>
      </c>
      <c r="F2">
        <f t="shared" ref="F2:F7" si="0">ABS(E2-$E$9)</f>
        <v>41</v>
      </c>
      <c r="I2">
        <f>IF(OR(E1=$F$12,E1=$F$13),"",E1)</f>
        <v>1</v>
      </c>
      <c r="M2">
        <v>1.4142135623730951</v>
      </c>
    </row>
    <row r="3" spans="1:13">
      <c r="B3">
        <v>0.70212036262739475</v>
      </c>
      <c r="C3">
        <f>B3-$B$6</f>
        <v>0</v>
      </c>
      <c r="E3">
        <v>3</v>
      </c>
      <c r="F3">
        <f t="shared" si="0"/>
        <v>6</v>
      </c>
      <c r="I3" t="str">
        <f t="shared" ref="I3:I9" si="1">IF(OR(E2=$F$12,E2=$F$13),"",E2)</f>
        <v/>
      </c>
      <c r="M3">
        <v>1</v>
      </c>
    </row>
    <row r="4" spans="1:13">
      <c r="B4">
        <v>1.8126257159669847</v>
      </c>
      <c r="C4">
        <f>B4-$B$6</f>
        <v>1.1105053533395899</v>
      </c>
      <c r="E4">
        <v>6</v>
      </c>
      <c r="F4">
        <f t="shared" si="0"/>
        <v>3</v>
      </c>
      <c r="I4">
        <f t="shared" si="1"/>
        <v>3</v>
      </c>
      <c r="M4">
        <v>1</v>
      </c>
    </row>
    <row r="5" spans="1:13">
      <c r="B5">
        <v>1.8415750480015882</v>
      </c>
      <c r="C5">
        <f>B5-$B$6</f>
        <v>1.1394546853741936</v>
      </c>
      <c r="E5">
        <v>8</v>
      </c>
      <c r="F5">
        <f t="shared" si="0"/>
        <v>1</v>
      </c>
      <c r="I5">
        <f t="shared" si="1"/>
        <v>6</v>
      </c>
      <c r="M5">
        <v>4.1231056256176606</v>
      </c>
    </row>
    <row r="6" spans="1:13">
      <c r="B6">
        <f>MEDIAN(B1:B5)</f>
        <v>0.70212036262739475</v>
      </c>
      <c r="C6">
        <f>MEDIAN(C1:C5)</f>
        <v>0.30433202451912489</v>
      </c>
      <c r="E6">
        <v>10</v>
      </c>
      <c r="F6">
        <f t="shared" si="0"/>
        <v>1</v>
      </c>
      <c r="I6">
        <f t="shared" si="1"/>
        <v>8</v>
      </c>
      <c r="M6">
        <v>2.8284271247461903</v>
      </c>
    </row>
    <row r="7" spans="1:13">
      <c r="B7" t="s">
        <v>18</v>
      </c>
      <c r="E7">
        <v>10</v>
      </c>
      <c r="F7">
        <f t="shared" si="0"/>
        <v>1</v>
      </c>
      <c r="I7">
        <f t="shared" si="1"/>
        <v>10</v>
      </c>
      <c r="M7">
        <v>3</v>
      </c>
    </row>
    <row r="8" spans="1:13">
      <c r="A8" t="s">
        <v>19</v>
      </c>
      <c r="B8">
        <f>B6+(2.5*C6)</f>
        <v>1.4629504239252071</v>
      </c>
      <c r="E8">
        <v>1000</v>
      </c>
      <c r="F8">
        <f>ABS(E8-$E$9)</f>
        <v>991</v>
      </c>
      <c r="I8">
        <f t="shared" si="1"/>
        <v>10</v>
      </c>
      <c r="M8">
        <v>6.0827625302982193</v>
      </c>
    </row>
    <row r="9" spans="1:13">
      <c r="B9" t="s">
        <v>18</v>
      </c>
      <c r="E9">
        <f>MEDIAN(E1:E8)</f>
        <v>9</v>
      </c>
      <c r="F9">
        <f>MEDIAN(F1:F8)*1.4826</f>
        <v>6.6716999999999995</v>
      </c>
      <c r="I9" t="str">
        <f t="shared" si="1"/>
        <v/>
      </c>
      <c r="M9">
        <v>16.031219541881399</v>
      </c>
    </row>
    <row r="10" spans="1:13">
      <c r="B10" t="s">
        <v>18</v>
      </c>
      <c r="M10">
        <v>20</v>
      </c>
    </row>
    <row r="11" spans="1:13">
      <c r="B11" t="s">
        <v>18</v>
      </c>
      <c r="E11" t="s">
        <v>20</v>
      </c>
      <c r="F11">
        <f>E9+(2.5*F9)</f>
        <v>25.67925</v>
      </c>
      <c r="M11">
        <v>7.0710678118654755</v>
      </c>
    </row>
    <row r="12" spans="1:13">
      <c r="B12" t="s">
        <v>18</v>
      </c>
      <c r="F12">
        <v>50</v>
      </c>
      <c r="M12">
        <v>9</v>
      </c>
    </row>
    <row r="13" spans="1:13">
      <c r="B13" t="s">
        <v>18</v>
      </c>
      <c r="F13">
        <v>1000</v>
      </c>
      <c r="M13">
        <v>11.045361017187261</v>
      </c>
    </row>
    <row r="14" spans="1:13">
      <c r="B14" t="s">
        <v>18</v>
      </c>
      <c r="F14" t="str">
        <f t="shared" ref="F14:F21" si="2">IF(E3&gt;$F$11,E3,"")</f>
        <v/>
      </c>
      <c r="M14">
        <v>8.2462112512353212</v>
      </c>
    </row>
    <row r="15" spans="1:13">
      <c r="F15" t="str">
        <f t="shared" si="2"/>
        <v/>
      </c>
      <c r="M15">
        <v>10.04987562112089</v>
      </c>
    </row>
    <row r="16" spans="1:13">
      <c r="F16" t="str">
        <f t="shared" si="2"/>
        <v/>
      </c>
      <c r="M16">
        <v>22.090722034374522</v>
      </c>
    </row>
    <row r="17" spans="5:13">
      <c r="F17" t="str">
        <f t="shared" si="2"/>
        <v/>
      </c>
      <c r="M17">
        <v>18.027756377319946</v>
      </c>
    </row>
    <row r="18" spans="5:13">
      <c r="F18" t="str">
        <f t="shared" si="2"/>
        <v/>
      </c>
      <c r="M18">
        <v>19</v>
      </c>
    </row>
    <row r="19" spans="5:13">
      <c r="E19" t="s">
        <v>19</v>
      </c>
      <c r="F19">
        <f t="shared" si="2"/>
        <v>1000</v>
      </c>
    </row>
    <row r="20" spans="5:13">
      <c r="F20" t="str">
        <f t="shared" si="2"/>
        <v/>
      </c>
    </row>
    <row r="21" spans="5:13">
      <c r="F21" t="str">
        <f t="shared" si="2"/>
        <v/>
      </c>
    </row>
    <row r="44" spans="13:13">
      <c r="M44" t="s">
        <v>18</v>
      </c>
    </row>
    <row r="46" spans="13:13">
      <c r="M46" t="s">
        <v>18</v>
      </c>
    </row>
    <row r="48" spans="13:13">
      <c r="M48" t="s">
        <v>18</v>
      </c>
    </row>
    <row r="50" spans="13:13">
      <c r="M50" t="s">
        <v>18</v>
      </c>
    </row>
    <row r="52" spans="13:13">
      <c r="M52" t="s">
        <v>18</v>
      </c>
    </row>
    <row r="54" spans="13:13">
      <c r="M54" t="s">
        <v>18</v>
      </c>
    </row>
    <row r="56" spans="13:13">
      <c r="M56" t="s">
        <v>18</v>
      </c>
    </row>
    <row r="58" spans="13:13">
      <c r="M58" t="s">
        <v>18</v>
      </c>
    </row>
    <row r="60" spans="13:13">
      <c r="M60">
        <v>18.027756377319946</v>
      </c>
    </row>
    <row r="62" spans="13:13">
      <c r="M62" t="s">
        <v>18</v>
      </c>
    </row>
    <row r="64" spans="13:13">
      <c r="M64" t="s">
        <v>18</v>
      </c>
    </row>
  </sheetData>
  <sortState ref="B1:C14">
    <sortCondition ref="C1"/>
  </sortState>
  <pageMargins left="0.7" right="0.7" top="0.75" bottom="0.75" header="0.3" footer="0.3"/>
  <legacyDrawing r:id="rId1"/>
  <controls>
    <control shapeId="2049" r:id="rId2" name="CommandButton1"/>
    <control shapeId="2051" r:id="rId3" name="CommandButton2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Kmeans</vt:lpstr>
      <vt:lpstr>Outlier</vt:lpstr>
      <vt:lpstr>Overlapping</vt:lpstr>
      <vt:lpstr>Sample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 pc</dc:creator>
  <cp:lastModifiedBy>my pc</cp:lastModifiedBy>
  <dcterms:created xsi:type="dcterms:W3CDTF">2017-11-06T16:22:58Z</dcterms:created>
  <dcterms:modified xsi:type="dcterms:W3CDTF">2018-01-21T00:23:19Z</dcterms:modified>
</cp:coreProperties>
</file>